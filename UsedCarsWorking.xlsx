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wn\Documents\UsedCarDashboard\"/>
    </mc:Choice>
  </mc:AlternateContent>
  <xr:revisionPtr revIDLastSave="0" documentId="13_ncr:1_{0BA2DABC-ADFD-45A7-ABEC-F3B60462887F}" xr6:coauthVersionLast="47" xr6:coauthVersionMax="47" xr10:uidLastSave="{00000000-0000-0000-0000-000000000000}"/>
  <bookViews>
    <workbookView xWindow="-108" yWindow="-108" windowWidth="23256" windowHeight="12576" xr2:uid="{9B76DEB4-6821-4B42-B7E4-43849333BE5F}"/>
  </bookViews>
  <sheets>
    <sheet name="UsedCars" sheetId="1" r:id="rId1"/>
    <sheet name="Convertibles" sheetId="2" r:id="rId2"/>
    <sheet name="Coupes" sheetId="3" r:id="rId3"/>
    <sheet name="Minivans" sheetId="8" r:id="rId4"/>
    <sheet name="Pickup" sheetId="7" r:id="rId5"/>
    <sheet name="Sedans" sheetId="9" r:id="rId6"/>
    <sheet name="SUV" sheetId="5" r:id="rId7"/>
  </sheets>
  <definedNames>
    <definedName name="_xlnm._FilterDatabase" localSheetId="0" hidden="1">UsedCars!$A$1:$W$114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14" i="1" l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W14" i="5"/>
  <c r="W4" i="5"/>
  <c r="W3" i="5"/>
  <c r="W22" i="5"/>
  <c r="W24" i="5"/>
  <c r="W9" i="5"/>
  <c r="W8" i="5"/>
  <c r="W23" i="5"/>
  <c r="W6" i="5"/>
  <c r="W19" i="5"/>
  <c r="W15" i="5"/>
  <c r="W13" i="5"/>
  <c r="W12" i="5"/>
  <c r="W7" i="5"/>
  <c r="W17" i="5"/>
  <c r="W11" i="5"/>
  <c r="W10" i="5"/>
  <c r="W2" i="5"/>
  <c r="W5" i="5"/>
  <c r="W18" i="5"/>
  <c r="W21" i="5"/>
  <c r="W16" i="5"/>
  <c r="W20" i="5"/>
  <c r="W47" i="9"/>
  <c r="W5" i="9"/>
  <c r="W55" i="9"/>
  <c r="W21" i="9"/>
  <c r="W26" i="9"/>
  <c r="W64" i="9"/>
  <c r="W63" i="9"/>
  <c r="W38" i="9"/>
  <c r="W37" i="9"/>
  <c r="W62" i="9"/>
  <c r="W61" i="9"/>
  <c r="W54" i="9"/>
  <c r="W17" i="9"/>
  <c r="W25" i="9"/>
  <c r="W2" i="9"/>
  <c r="W53" i="9"/>
  <c r="W52" i="9"/>
  <c r="W60" i="9"/>
  <c r="W36" i="9"/>
  <c r="W28" i="9"/>
  <c r="W24" i="9"/>
  <c r="W16" i="9"/>
  <c r="W51" i="9"/>
  <c r="W15" i="9"/>
  <c r="W14" i="9"/>
  <c r="W13" i="9"/>
  <c r="W12" i="9"/>
  <c r="W11" i="9"/>
  <c r="W10" i="9"/>
  <c r="W9" i="9"/>
  <c r="W4" i="9"/>
  <c r="W8" i="9"/>
  <c r="W35" i="9"/>
  <c r="W74" i="9"/>
  <c r="W46" i="9"/>
  <c r="W70" i="9"/>
  <c r="W41" i="9"/>
  <c r="W43" i="9"/>
  <c r="W58" i="9"/>
  <c r="W33" i="9"/>
  <c r="W67" i="9"/>
  <c r="W69" i="9"/>
  <c r="W66" i="9"/>
  <c r="W3" i="9"/>
  <c r="W7" i="9"/>
  <c r="W50" i="9"/>
  <c r="W42" i="9"/>
  <c r="W20" i="9"/>
  <c r="W6" i="9"/>
  <c r="W32" i="9"/>
  <c r="W49" i="9"/>
  <c r="W27" i="9"/>
  <c r="W59" i="9"/>
  <c r="W71" i="9"/>
  <c r="W57" i="9"/>
  <c r="W45" i="9"/>
  <c r="W22" i="9"/>
  <c r="W40" i="9"/>
  <c r="W73" i="9"/>
  <c r="W23" i="9"/>
  <c r="W68" i="9"/>
  <c r="W72" i="9"/>
  <c r="W34" i="9"/>
  <c r="W31" i="9"/>
  <c r="W30" i="9"/>
  <c r="W29" i="9"/>
  <c r="W65" i="9"/>
  <c r="W44" i="9"/>
  <c r="W48" i="9"/>
  <c r="W39" i="9"/>
  <c r="W19" i="9"/>
  <c r="W18" i="9"/>
  <c r="W56" i="9"/>
  <c r="W10" i="7"/>
  <c r="W9" i="7"/>
  <c r="W8" i="7"/>
  <c r="W7" i="7"/>
  <c r="W6" i="7"/>
  <c r="W5" i="7"/>
  <c r="W4" i="7"/>
  <c r="W3" i="7"/>
  <c r="W2" i="7"/>
  <c r="W12" i="8"/>
  <c r="W11" i="8"/>
  <c r="W10" i="8"/>
  <c r="W9" i="8"/>
  <c r="W8" i="8"/>
  <c r="W7" i="8"/>
  <c r="W6" i="8"/>
  <c r="W5" i="8"/>
  <c r="W4" i="8"/>
  <c r="W3" i="8"/>
  <c r="W2" i="8"/>
  <c r="W21" i="3"/>
  <c r="W18" i="3"/>
  <c r="W15" i="3"/>
  <c r="W12" i="3"/>
  <c r="W36" i="3"/>
  <c r="W35" i="3"/>
  <c r="W14" i="3"/>
  <c r="W39" i="3"/>
  <c r="W41" i="3"/>
  <c r="W11" i="3"/>
  <c r="W3" i="3"/>
  <c r="W17" i="3"/>
  <c r="W20" i="3"/>
  <c r="W34" i="3"/>
  <c r="W10" i="3"/>
  <c r="W9" i="3"/>
  <c r="W8" i="3"/>
  <c r="W19" i="3"/>
  <c r="W33" i="3"/>
  <c r="W40" i="3"/>
  <c r="W24" i="3"/>
  <c r="W2" i="3"/>
  <c r="W7" i="3"/>
  <c r="W29" i="3"/>
  <c r="W38" i="3"/>
  <c r="W28" i="3"/>
  <c r="W30" i="3"/>
  <c r="W16" i="3"/>
  <c r="W43" i="3"/>
  <c r="W13" i="3"/>
  <c r="W32" i="3"/>
  <c r="W31" i="3"/>
  <c r="W23" i="3"/>
  <c r="W27" i="3"/>
  <c r="W37" i="3"/>
  <c r="W6" i="3"/>
  <c r="W5" i="3"/>
  <c r="W22" i="3"/>
  <c r="W4" i="3"/>
  <c r="W44" i="3"/>
  <c r="W42" i="3"/>
  <c r="W26" i="3"/>
  <c r="W25" i="3"/>
  <c r="W47" i="2"/>
  <c r="W33" i="2"/>
  <c r="W20" i="2"/>
  <c r="W31" i="2"/>
  <c r="W22" i="2"/>
  <c r="W43" i="2"/>
  <c r="W17" i="2"/>
  <c r="W9" i="2"/>
  <c r="W16" i="2"/>
  <c r="W42" i="2"/>
  <c r="W27" i="2"/>
  <c r="W37" i="2"/>
  <c r="W15" i="2"/>
  <c r="W51" i="2"/>
  <c r="W50" i="2"/>
  <c r="W49" i="2"/>
  <c r="W32" i="2"/>
  <c r="W41" i="2"/>
  <c r="W14" i="2"/>
  <c r="W18" i="2"/>
  <c r="W29" i="2"/>
  <c r="W35" i="2"/>
  <c r="W19" i="2"/>
  <c r="W25" i="2"/>
  <c r="W46" i="2"/>
  <c r="W34" i="2"/>
  <c r="W8" i="2"/>
  <c r="W13" i="2"/>
  <c r="W7" i="2"/>
  <c r="W12" i="2"/>
  <c r="W11" i="2"/>
  <c r="W3" i="2"/>
  <c r="W36" i="2"/>
  <c r="W26" i="2"/>
  <c r="W53" i="2"/>
  <c r="W48" i="2"/>
  <c r="W52" i="2"/>
  <c r="W40" i="2"/>
  <c r="W39" i="2"/>
  <c r="W21" i="2"/>
  <c r="W24" i="2"/>
  <c r="W55" i="2"/>
  <c r="W38" i="2"/>
  <c r="W28" i="2"/>
  <c r="W30" i="2"/>
  <c r="W45" i="2"/>
  <c r="W6" i="2"/>
  <c r="W5" i="2"/>
  <c r="W10" i="2"/>
  <c r="W4" i="2"/>
  <c r="W2" i="2"/>
  <c r="W54" i="2"/>
  <c r="W44" i="2"/>
  <c r="W23" i="2"/>
</calcChain>
</file>

<file path=xl/sharedStrings.xml><?xml version="1.0" encoding="utf-8"?>
<sst xmlns="http://schemas.openxmlformats.org/spreadsheetml/2006/main" count="5612" uniqueCount="538">
  <si>
    <t>URL</t>
  </si>
  <si>
    <t>Make</t>
  </si>
  <si>
    <t>Year</t>
  </si>
  <si>
    <t>Model</t>
  </si>
  <si>
    <t>Trim</t>
  </si>
  <si>
    <t>Nissan</t>
  </si>
  <si>
    <t>Mileage</t>
  </si>
  <si>
    <t>Drivetrain</t>
  </si>
  <si>
    <t>FWD</t>
  </si>
  <si>
    <t>Fuel</t>
  </si>
  <si>
    <t>HP</t>
  </si>
  <si>
    <t>Displacement</t>
  </si>
  <si>
    <t>Engine</t>
  </si>
  <si>
    <t>I4</t>
  </si>
  <si>
    <t>Combined MPG</t>
  </si>
  <si>
    <t>State</t>
  </si>
  <si>
    <t>TX</t>
  </si>
  <si>
    <t>No</t>
  </si>
  <si>
    <t>Body</t>
  </si>
  <si>
    <t>https://www.cargurus.com/Cars/inventorylisting/viewDetailsFilterViewInventoryListing.action?sourceContext=carGurusHomePagePrice&amp;inventorySearchWidgetType=PRICE&amp;minPrice=0&amp;maxPrice=10000&amp;zip=77433#listing=314885276/NONE</t>
  </si>
  <si>
    <t>Chrysler</t>
  </si>
  <si>
    <t>PT Cruiser</t>
  </si>
  <si>
    <t>Convertible</t>
  </si>
  <si>
    <t>Owners</t>
  </si>
  <si>
    <t>Rental Use?</t>
  </si>
  <si>
    <t>Yes</t>
  </si>
  <si>
    <t>https://www.cargurus.com/Cars/inventorylisting/viewDetailsFilterViewInventoryListing.action?sourceContext=carGurusHomePagePrice&amp;inventorySearchWidgetType=PRICE&amp;minPrice=0&amp;maxPrice=10000&amp;zip=77433#listing=313324697/NONE</t>
  </si>
  <si>
    <t>MINI</t>
  </si>
  <si>
    <t>Cooper</t>
  </si>
  <si>
    <t>S</t>
  </si>
  <si>
    <t>Gas</t>
  </si>
  <si>
    <t>Fleet Use?</t>
  </si>
  <si>
    <t>https://www.cargurus.com/Cars/inventorylisting/viewDetailsFilterViewInventoryListing.action?sourceContext=carGurusHomePagePrice&amp;inventorySearchWidgetType=PRICE&amp;minPrice=0&amp;maxPrice=10000&amp;zip=77433#listing=313201653/NONE</t>
  </si>
  <si>
    <t>Saturn</t>
  </si>
  <si>
    <t>Sky</t>
  </si>
  <si>
    <t>Red Line</t>
  </si>
  <si>
    <t>RWD</t>
  </si>
  <si>
    <t>https://www.cargurus.com/Cars/inventorylisting/viewDetailsFilterViewInventoryListing.action?sourceContext=carGurusHomePagePrice&amp;inventorySearchWidgetType=PRICE&amp;minPrice=0&amp;maxPrice=10000&amp;zip=77433#listing=314885268/NONE</t>
  </si>
  <si>
    <t>Audi</t>
  </si>
  <si>
    <t>TT</t>
  </si>
  <si>
    <t>1.8T</t>
  </si>
  <si>
    <t>https://www.cargurus.com/Cars/inventorylisting/viewDetailsFilterViewInventoryListing.action?sourceContext=carGurusHomePagePrice&amp;inventorySearchWidgetType=PRICE&amp;minPrice=0&amp;maxPrice=10000&amp;zip=77433#listing=310813461/NONE</t>
  </si>
  <si>
    <t>BMW</t>
  </si>
  <si>
    <t>Z3</t>
  </si>
  <si>
    <t>Mercedes-Benz</t>
  </si>
  <si>
    <t>Supercharged</t>
  </si>
  <si>
    <t>https://www.cargurus.com/Cars/inventorylisting/viewDetailsFilterViewInventoryListing.action?sourceContext=carGurusHomePagePrice&amp;inventorySearchWidgetType=PRICE&amp;minPrice=0&amp;maxPrice=10000&amp;zip=77433#listing=314391676/NONE</t>
  </si>
  <si>
    <t>Z4</t>
  </si>
  <si>
    <t>2.5i</t>
  </si>
  <si>
    <t>I6</t>
  </si>
  <si>
    <t>https://www.cargurus.com/Cars/inventorylisting/viewDetailsFilterViewInventoryListing.action?sourceContext=carGurusHomePagePrice&amp;inventorySearchWidgetType=PRICE&amp;minPrice=0&amp;maxPrice=10000&amp;zip=77433#listing=314887117/NONE</t>
  </si>
  <si>
    <t>3 Series</t>
  </si>
  <si>
    <t>328i</t>
  </si>
  <si>
    <t>https://www.cargurus.com/Cars/inventorylisting/viewDetailsFilterViewInventoryListing.action?sourceContext=carGurusHomePagePrice&amp;inventorySearchWidgetType=PRICE&amp;minPrice=0&amp;maxPrice=10000&amp;zip=77433#listing=309434928/NONE</t>
  </si>
  <si>
    <t>330Ci</t>
  </si>
  <si>
    <t>https://www.cargurus.com/Cars/inventorylisting/viewDetailsFilterViewInventoryListing.action?sourceContext=carGurusHomePagePrice&amp;inventorySearchWidgetType=PRICE&amp;minPrice=0&amp;maxPrice=10000&amp;zip=77433#listing=314103961/NONE</t>
  </si>
  <si>
    <t>350Z</t>
  </si>
  <si>
    <t>Touring</t>
  </si>
  <si>
    <t>V6</t>
  </si>
  <si>
    <t>https://www.cargurus.com/Cars/inventorylisting/viewDetailsFilterViewInventoryListing.action?sourceContext=carGurusHomePagePrice&amp;inventorySearchWidgetType=PRICE&amp;minPrice=0&amp;maxPrice=10000&amp;zip=77433#listing=308136578/NONE</t>
  </si>
  <si>
    <t>INFINITI</t>
  </si>
  <si>
    <t>G37</t>
  </si>
  <si>
    <t>https://www.cargurus.com/Cars/inventorylisting/viewDetailsFilterViewInventoryListing.action?sourceContext=carGurusHomePagePrice&amp;inventorySearchWidgetType=PRICE&amp;minPrice=0&amp;maxPrice=10000&amp;zip=77433#listing=313857259/NONE</t>
  </si>
  <si>
    <t>Ford</t>
  </si>
  <si>
    <t>Mustang</t>
  </si>
  <si>
    <t>https://www.cargurus.com/Cars/inventorylisting/viewDetailsFilterViewInventoryListing.action?sourceContext=carGurusHomePagePrice&amp;inventorySearchWidgetType=PRICE&amp;minPrice=0&amp;maxPrice=10000&amp;zip=77433#listing=314208056/NONE</t>
  </si>
  <si>
    <t>CLK 350</t>
  </si>
  <si>
    <t>https://www.cargurus.com/Cars/inventorylisting/viewDetailsFilterViewInventoryListing.action?sourceContext=carGurusHomePagePrice&amp;inventorySearchWidgetType=PRICE&amp;minPrice=0&amp;maxPrice=10000&amp;zip=77433#listing=301760802/NONE</t>
  </si>
  <si>
    <t>Toyota</t>
  </si>
  <si>
    <t>Camry</t>
  </si>
  <si>
    <t>Solara</t>
  </si>
  <si>
    <t>https://www.cargurus.com/Cars/inventorylisting/viewDetailsFilterViewInventoryListing.action?sourceContext=carGurusHomePagePrice&amp;inventorySearchWidgetType=PRICE&amp;minPrice=0&amp;maxPrice=10000&amp;zip=77433#listing=307870326/NONE</t>
  </si>
  <si>
    <t>Sebring</t>
  </si>
  <si>
    <t>Flex</t>
  </si>
  <si>
    <t>V8</t>
  </si>
  <si>
    <t>https://www.cargurus.com/Cars/inventorylisting/viewDetailsFilterViewInventoryListing.action?sourceContext=carGurusHomePagePrice&amp;inventorySearchWidgetType=PRICE&amp;minPrice=0&amp;maxPrice=10000&amp;zip=77433#listing=308175597/NONE</t>
  </si>
  <si>
    <t>Chevrolet</t>
  </si>
  <si>
    <t>Corvette</t>
  </si>
  <si>
    <t>https://www.cargurus.com/Cars/inventorylisting/viewDetailsFilterViewInventoryListing.action?sourceContext=carGurusHomePagePrice&amp;inventorySearchWidgetType=PRICE&amp;minPrice=0&amp;maxPrice=10000&amp;zip=77433#listing=309341438/NONE</t>
  </si>
  <si>
    <t>SL 500</t>
  </si>
  <si>
    <t>Title Issues</t>
  </si>
  <si>
    <t>https://www.cargurus.com/Cars/inventorylisting/viewDetailsFilterViewInventoryListing.action?sourceContext=carGurusHomePagePrice&amp;inventorySearchWidgetType=PRICE&amp;minPrice=0&amp;maxPrice=10000&amp;zip=77433#listing=298598035/NONE</t>
  </si>
  <si>
    <t>Porsche</t>
  </si>
  <si>
    <t>Boxster</t>
  </si>
  <si>
    <t>H6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</si>
  <si>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312874862/NONE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</si>
  <si>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310011602/NONE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</si>
  <si>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312146381/NONE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</si>
  <si>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314995513/NONE</t>
  </si>
  <si>
    <t>FIAT</t>
  </si>
  <si>
    <t>GQ Edition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</si>
  <si>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313441555/NONE</t>
  </si>
  <si>
    <t>Mazda</t>
  </si>
  <si>
    <t>MX-5 Miata</t>
  </si>
  <si>
    <t>Volkswagen</t>
  </si>
  <si>
    <t>Turbo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</si>
  <si>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313420595/NONE</t>
  </si>
  <si>
    <t>A5</t>
  </si>
  <si>
    <t>2.0T Premium Plus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</si>
  <si>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314413060/NONE</t>
  </si>
  <si>
    <t>335i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</si>
  <si>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310564746/NONE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</si>
  <si>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314458022/NONE</t>
  </si>
  <si>
    <t>M3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</si>
  <si>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308976361/NONE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</si>
  <si>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312953491/NONE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</si>
  <si>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314368549/NONE</t>
  </si>
  <si>
    <t>Lexus</t>
  </si>
  <si>
    <t>IS 250C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</si>
  <si>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312181210/NONE</t>
  </si>
  <si>
    <t>370Z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</si>
  <si>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314006871/NONE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</si>
  <si>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313837515/NONE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</si>
  <si>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296879014/NONE</t>
  </si>
  <si>
    <t>SC 430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</si>
  <si>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310730255/NONE</t>
  </si>
  <si>
    <t>Thunderbird</t>
  </si>
  <si>
    <t>Deluxe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</si>
  <si>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314634151/NONE</t>
  </si>
  <si>
    <t>Cadillac</t>
  </si>
  <si>
    <t>XLR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</si>
  <si>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310868214/NONE</t>
  </si>
  <si>
    <t>6 Series</t>
  </si>
  <si>
    <t>650i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</si>
  <si>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312868031/NONE</t>
  </si>
  <si>
    <t>SL 550</t>
  </si>
  <si>
    <t>SL-Class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</si>
  <si>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313836759/NONE</t>
  </si>
  <si>
    <t>Jaguar</t>
  </si>
  <si>
    <t>XK-Series</t>
  </si>
  <si>
    <t>XK8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</si>
  <si>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307961522/NONE</t>
  </si>
  <si>
    <t>Carrera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</si>
  <si>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314802621/NONE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</si>
  <si>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300543699/NONE</t>
  </si>
  <si>
    <t>Carrera 4</t>
  </si>
  <si>
    <t>AWD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</si>
  <si>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314332990/NONE</t>
  </si>
  <si>
    <t>4 Series</t>
  </si>
  <si>
    <t>428i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</si>
  <si>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310999675/NONE</t>
  </si>
  <si>
    <t>Grand Touring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</si>
  <si>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312945361/NONE</t>
  </si>
  <si>
    <t>124 Spider Lusso</t>
  </si>
  <si>
    <t>Buick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</si>
  <si>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312987226/NONE</t>
  </si>
  <si>
    <t>SL 320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</si>
  <si>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314876340/NONE</t>
  </si>
  <si>
    <t>1 Series</t>
  </si>
  <si>
    <t>135i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</si>
  <si>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311331979/NONE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</si>
  <si>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309717160/NONE</t>
  </si>
  <si>
    <t>435i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</si>
  <si>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308683790/NONE</t>
  </si>
  <si>
    <t>E-Class</t>
  </si>
  <si>
    <t>E 350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</si>
  <si>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308176637/NONE</t>
  </si>
  <si>
    <t>Camaro</t>
  </si>
  <si>
    <t>1LT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</si>
  <si>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312585283/NONE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</si>
  <si>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314735742/NONE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</si>
  <si>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315077365/NONE</t>
  </si>
  <si>
    <t>XK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</si>
  <si>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307216195/NONE</t>
  </si>
  <si>
    <t>Pontiac</t>
  </si>
  <si>
    <t>Firebird Trans Am</t>
  </si>
  <si>
    <t>Added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</si>
  <si>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312005721/NONE</t>
  </si>
  <si>
    <t>Honda</t>
  </si>
  <si>
    <t>Civic</t>
  </si>
  <si>
    <t>LX</t>
  </si>
  <si>
    <t>Coupe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</si>
  <si>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314557359/NONE</t>
  </si>
  <si>
    <t>EX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</si>
  <si>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314733093/NONE</t>
  </si>
  <si>
    <t>Scion</t>
  </si>
  <si>
    <t>tC</t>
  </si>
  <si>
    <t>Hyundai</t>
  </si>
  <si>
    <t>Veloster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</si>
  <si>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314879171/NONE</t>
  </si>
  <si>
    <t>Celica</t>
  </si>
  <si>
    <t>GT</t>
  </si>
  <si>
    <t>Acura</t>
  </si>
  <si>
    <t>LS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</si>
  <si>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313870127/NONE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</si>
  <si>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314110483/NONE</t>
  </si>
  <si>
    <t>GT Deluxe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</si>
  <si>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310611429/NONE</t>
  </si>
  <si>
    <t>128i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</si>
  <si>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307771279/NONE</t>
  </si>
  <si>
    <t>325Ci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</si>
  <si>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314893663/NONE</t>
  </si>
  <si>
    <t>CLK-Class</t>
  </si>
  <si>
    <t>CLK 320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</si>
  <si>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314048298/NONE</t>
  </si>
  <si>
    <t>Accord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</si>
  <si>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312406614/NONE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</si>
  <si>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309928787/NONE</t>
  </si>
  <si>
    <t>Sport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</si>
  <si>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314758305/NONE</t>
  </si>
  <si>
    <t>G35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</si>
  <si>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310363738/NONE</t>
  </si>
  <si>
    <t>Reatta</t>
  </si>
  <si>
    <t>Subaru</t>
  </si>
  <si>
    <t>Limited</t>
  </si>
  <si>
    <t>H4</t>
  </si>
  <si>
    <t>https://www.cargurus.com/Cars/inventorylisting/viewDetailsFilterViewInventoryListing.action?sourceContext=carGurusHomePagePrice&amp;inventorySearchWidgetType=PRICE&amp;minPrice=10000&amp;maxPrice=20000&amp;zip=77433#listing=314581123/NONE</t>
  </si>
  <si>
    <t>FR-S</t>
  </si>
  <si>
    <t>Monogram</t>
  </si>
  <si>
    <t>https://www.cargurus.com/Cars/inventorylisting/viewDetailsFilterViewInventoryListing.action?sourceContext=carGurusHomePagePrice&amp;inventorySearchWidgetType=PRICE&amp;minPrice=10000&amp;maxPrice=20000&amp;zip=77433#listing=312176426/NONE</t>
  </si>
  <si>
    <t>https://www.cargurus.com/Cars/inventorylisting/viewDetailsFilterViewInventoryListing.action?sourceContext=carGurusHomePagePrice&amp;inventorySearchWidgetType=PRICE&amp;minPrice=10000&amp;maxPrice=20000&amp;zip=77433#listing=312305381/NONE</t>
  </si>
  <si>
    <t>https://www.cargurus.com/Cars/inventorylisting/viewDetailsFilterViewInventoryListing.action?sourceContext=carGurusHomePagePrice&amp;inventorySearchWidgetType=PRICE&amp;minPrice=10000&amp;maxPrice=20000&amp;zip=77433#listing=310298806/NONE</t>
  </si>
  <si>
    <t>LX-S</t>
  </si>
  <si>
    <t>https://www.cargurus.com/Cars/inventorylisting/viewDetailsFilterViewInventoryListing.action?sourceContext=carGurusHomePagePrice&amp;inventorySearchWidgetType=PRICE&amp;minPrice=10000&amp;maxPrice=20000&amp;zip=77433#listing=299537567/NONE</t>
  </si>
  <si>
    <t>C-Class</t>
  </si>
  <si>
    <t>C 250</t>
  </si>
  <si>
    <t>2.0T quattro Premium</t>
  </si>
  <si>
    <t>https://www.cargurus.com/Cars/inventorylisting/viewDetailsFilterViewInventoryListing.action?sourceContext=carGurusHomePagePrice&amp;inventorySearchWidgetType=PRICE&amp;minPrice=10000&amp;maxPrice=20000&amp;zip=77433#listing=310799973/NONE</t>
  </si>
  <si>
    <t>Si</t>
  </si>
  <si>
    <t>https://www.cargurus.com/Cars/inventorylisting/viewDetailsFilterViewInventoryListing.action?sourceContext=carGurusHomePagePrice&amp;inventorySearchWidgetType=PRICE&amp;minPrice=10000&amp;maxPrice=20000&amp;zip=77433#listing=312956173/NONE</t>
  </si>
  <si>
    <t>428i xDrive</t>
  </si>
  <si>
    <t>https://www.cargurus.com/Cars/inventorylisting/viewDetailsFilterViewInventoryListing.action?sourceContext=carGurusHomePagePrice&amp;inventorySearchWidgetType=PRICE&amp;minPrice=10000&amp;maxPrice=20000&amp;zip=77433#listing=314910678/NONE</t>
  </si>
  <si>
    <t>https://www.cargurus.com/Cars/inventorylisting/viewDetailsFilterViewInventoryListing.action?sourceContext=carGurusHomePagePrice&amp;inventorySearchWidgetType=PRICE&amp;minPrice=10000&amp;maxPrice=20000&amp;zip=77433#listing=314929731/NONE</t>
  </si>
  <si>
    <t>https://www.cargurus.com/Cars/inventorylisting/viewDetailsFilterViewInventoryListing.action?sourceContext=carGurusHomePagePrice&amp;inventorySearchWidgetType=PRICE&amp;minPrice=10000&amp;maxPrice=20000&amp;zip=77433#listing=307000369/NONE</t>
  </si>
  <si>
    <t>https://www.cargurus.com/Cars/inventorylisting/viewDetailsFilterViewInventoryListing.action?sourceContext=carGurusHomePagePrice&amp;inventorySearchWidgetType=PRICE&amp;minPrice=10000&amp;maxPrice=20000&amp;zip=77433#listing=313960744/NONE</t>
  </si>
  <si>
    <t>Q60</t>
  </si>
  <si>
    <t>Journey</t>
  </si>
  <si>
    <t>https://www.cargurus.com/Cars/inventorylisting/viewDetailsFilterViewInventoryListing.action?sourceContext=carGurusHomePagePrice&amp;inventorySearchWidgetType=PRICE&amp;minPrice=10000&amp;maxPrice=20000&amp;zip=77433#listing=314825210/NONE</t>
  </si>
  <si>
    <t>Dodge</t>
  </si>
  <si>
    <t>Challenger</t>
  </si>
  <si>
    <t>SXT</t>
  </si>
  <si>
    <t>https://www.cargurus.com/Cars/inventorylisting/viewDetailsFilterViewInventoryListing.action?sourceContext=carGurusHomePagePrice&amp;inventorySearchWidgetType=PRICE&amp;minPrice=10000&amp;maxPrice=20000&amp;zip=77433#listing=302225083/NONE</t>
  </si>
  <si>
    <t>https://www.cargurus.com/Cars/inventorylisting/viewDetailsFilterViewInventoryListing.action?sourceContext=carGurusHomePagePrice&amp;inventorySearchWidgetType=PRICE&amp;minPrice=10000&amp;maxPrice=20000&amp;zip=77433#listing=304261899/NONE</t>
  </si>
  <si>
    <t>https://www.cargurus.com/Cars/inventorylisting/viewDetailsFilterViewInventoryListing.action?sourceContext=carGurusHomePagePrice&amp;inventorySearchWidgetType=PRICE&amp;minPrice=10000&amp;maxPrice=20000&amp;zip=77433#listing=313198732/NONE</t>
  </si>
  <si>
    <t>https://www.cargurus.com/Cars/inventorylisting/viewDetailsFilterViewInventoryListing.action?sourceContext=carGurusHomePagePrice&amp;inventorySearchWidgetType=PRICE&amp;minPrice=10000&amp;maxPrice=20000&amp;zip=77433#listing=313218007/NONE</t>
  </si>
  <si>
    <t>https://www.cargurus.com/Cars/inventorylisting/viewDetailsFilterViewInventoryListing.action?sourceContext=carGurusHomePagePrice&amp;inventorySearchWidgetType=PRICE&amp;minPrice=10000&amp;maxPrice=20000&amp;zip=77433#listing=309091198/NONE</t>
  </si>
  <si>
    <t>R/T</t>
  </si>
  <si>
    <t>https://www.cargurus.com/Cars/inventorylisting/viewDetailsFilterViewInventoryListing.action?sourceContext=carGurusHomePagePrice&amp;inventorySearchWidgetType=PRICE&amp;minPrice=10000&amp;maxPrice=20000&amp;zip=77433#listing=313522196/NONE</t>
  </si>
  <si>
    <t>https://www.cargurus.com/Cars/inventorylisting/viewDetailsFilterViewInventoryListing.action?sourceContext=carGurusHomePagePrice&amp;inventorySearchWidgetType=PRICE&amp;minPrice=10000&amp;maxPrice=20000&amp;zip=77433#listing=314904269/NONE</t>
  </si>
  <si>
    <t>S5</t>
  </si>
  <si>
    <t>4.2 quattro Premium</t>
  </si>
  <si>
    <t>https://www.cargurus.com/Cars/inventorylisting/viewDetailsFilterViewInventoryListing.action?sourceContext=carGurusHomePagePrice&amp;inventorySearchWidgetType=PRICE&amp;minPrice=10000&amp;maxPrice=20000&amp;zip=77433#listing=304130986/NONE</t>
  </si>
  <si>
    <t>https://www.cargurus.com/Cars/inventorylisting/viewDetailsFilterViewInventoryListing.action?sourceContext=carGurusHomePagePrice&amp;inventorySearchWidgetType=PRICE&amp;minPrice=10000&amp;maxPrice=20000&amp;zip=77433#listing=309048397/NONE</t>
  </si>
  <si>
    <t>GTO</t>
  </si>
  <si>
    <t>https://www.cargurus.com/Cars/inventorylisting/viewDetailsFilterViewInventoryListing.action?sourceContext=carGurusHomePagePrice&amp;inventorySearchWidgetType=PRICE&amp;minPrice=10000&amp;maxPrice=20000&amp;zip=77433#listing=312226203/NONE</t>
  </si>
  <si>
    <t>E 550</t>
  </si>
  <si>
    <t>https://www.cargurus.com/Cars/inventorylisting/viewDetailsFilterViewInventoryListing.action?sourceContext=carGurusHomePagePrice&amp;inventorySearchWidgetType=PRICE&amp;minPrice=10000&amp;maxPrice=20000&amp;zip=77433#listing=313398216/NONE</t>
  </si>
  <si>
    <t>Eldorado</t>
  </si>
  <si>
    <t>ESC</t>
  </si>
  <si>
    <t>https://www.cargurus.com/Cars/inventorylisting/viewDetailsFilterViewInventoryListing.action?sourceContext=carGurusHomePagePrice&amp;inventorySearchWidgetType=PRICE&amp;minPrice=10000&amp;maxPrice=20000&amp;zip=77433#listing=314143216/NONE</t>
  </si>
  <si>
    <t>SC 400</t>
  </si>
  <si>
    <t>https://www.cargurus.com/Cars/inventorylisting/viewDetailsFilterViewInventoryListing.action?zip=77433&amp;inventorySearchWidgetType=PRICE&amp;maxPrice=30000&amp;sortDir=ASC&amp;engines=V8&amp;sourceContext=carGurusHomePagePrice&amp;bodyTypeGroupIds=0&amp;distance=50&amp;minPrice=20000&amp;sortType=DEAL_SCORE#listing=313831294/NONE</t>
  </si>
  <si>
    <t>Maserati</t>
  </si>
  <si>
    <t>GranTurismo</t>
  </si>
  <si>
    <t>https://www.cargurus.com/Cars/inventorylisting/viewDetailsFilterViewInventoryListing.action?zip=77433&amp;inventorySearchWidgetType=PRICE&amp;maxPrice=30000&amp;sortDir=ASC&amp;engines=V8&amp;sourceContext=carGurusHomePagePrice&amp;bodyTypeGroupIds=0&amp;distance=50&amp;minPrice=20000&amp;sortType=DEAL_SCORE#listing=312787365/NONE</t>
  </si>
  <si>
    <t>https://www.cargurus.com/Cars/inventorylisting/viewDetailsFilterViewInventoryListing.action?zip=77433&amp;inventorySearchWidgetType=PRICE&amp;maxPrice=30000&amp;sortDir=ASC&amp;engines=V8&amp;sourceContext=carGurusHomePagePrice&amp;bodyTypeGroupIds=0&amp;distance=50&amp;minPrice=20000&amp;sortType=DEAL_SCORE#listing=310297253/NONE</t>
  </si>
  <si>
    <t>CTS-V</t>
  </si>
  <si>
    <t>https://www.cargurus.com/Cars/inventorylisting/viewDetailsFilterViewInventoryListing.action?zip=77433&amp;inventorySearchWidgetType=PRICE&amp;maxPrice=30000&amp;sortDir=ASC&amp;engines=V8&amp;sourceContext=carGurusHomePagePrice&amp;bodyTypeGroupIds=0&amp;distance=50&amp;minPrice=20000&amp;sortType=DEAL_SCORE#listing=311975734/NONE</t>
  </si>
  <si>
    <t>1SS</t>
  </si>
  <si>
    <t>https://www.cargurus.com/Cars/inventorylisting/viewDetailsFilterViewInventoryListing.action?zip=77433&amp;inventorySearchWidgetType=PRICE&amp;maxPrice=30000&amp;sortDir=ASC&amp;engines=V8&amp;sourceContext=carGurusHomePagePrice&amp;bodyTypeGroupIds=0&amp;distance=50&amp;minPrice=20000&amp;sortType=DEAL_SCORE#listing=309036973/NONE</t>
  </si>
  <si>
    <t>R/T Plus Shaker</t>
  </si>
  <si>
    <t>Titanium</t>
  </si>
  <si>
    <t>SUV</t>
  </si>
  <si>
    <t>https://www.cargurus.com/Cars/inventorylisting/viewDetailsFilterViewInventoryListing.action?sourceContext=carGurusHomePagePrice&amp;inventorySearchWidgetType=PRICE&amp;minPrice=0&amp;maxPrice=10000&amp;zip=77433#listing=305898907/NONE</t>
  </si>
  <si>
    <t>Lincoln</t>
  </si>
  <si>
    <t>MKX</t>
  </si>
  <si>
    <t>Diesel</t>
  </si>
  <si>
    <t>https://www.cargurus.com/Cars/inventorylisting/viewDetailsFilterViewInventoryListing.action?sourceContext=carGurusHomePagePrice&amp;inventorySearchWidgetType=PRICE&amp;minPrice=0&amp;maxPrice=10000&amp;zip=77433#listing=307139452/NONE</t>
  </si>
  <si>
    <t>Sequoia</t>
  </si>
  <si>
    <t>https://www.cargurus.com/Cars/inventorylisting/viewDetailsFilterViewInventoryListing.action?sourceContext=carGurusHomePagePrice&amp;inventorySearchWidgetType=PRICE&amp;minPrice=0&amp;maxPrice=10000&amp;zip=77433#listing=307128696/NONE</t>
  </si>
  <si>
    <t>M-Class</t>
  </si>
  <si>
    <t>ML 350</t>
  </si>
  <si>
    <t>https://www.cargurus.com/Cars/inventorylisting/viewDetailsFilterViewInventoryListing.action?sourceContext=carGurusHomePagePrice&amp;inventorySearchWidgetType=PRICE&amp;minPrice=0&amp;maxPrice=10000&amp;zip=77433#listing=311526310/NONE</t>
  </si>
  <si>
    <t>Forester</t>
  </si>
  <si>
    <t>2.5 X Premium</t>
  </si>
  <si>
    <t>https://www.cargurus.com/Cars/inventorylisting/viewDetailsFilterViewInventoryListing.action?sourceContext=carGurusHomePagePrice&amp;inventorySearchWidgetType=PRICE&amp;minPrice=0&amp;maxPrice=10000&amp;zip=77433#listing=313731039/NONE</t>
  </si>
  <si>
    <t>SRX</t>
  </si>
  <si>
    <t>Luxury</t>
  </si>
  <si>
    <t>https://www.cargurus.com/Cars/inventorylisting/viewDetailsFilterViewInventoryListing.action?sourceContext=carGurusHomePagePrice&amp;inventorySearchWidgetType=PRICE&amp;minPrice=0&amp;maxPrice=10000&amp;zip=77433#listing=312878210/NONE</t>
  </si>
  <si>
    <t>MDX</t>
  </si>
  <si>
    <t>GMC</t>
  </si>
  <si>
    <t>Land Rover</t>
  </si>
  <si>
    <t>Range Rover</t>
  </si>
  <si>
    <t>4WD</t>
  </si>
  <si>
    <t>Yukon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</si>
  <si>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312696797/NONE</t>
  </si>
  <si>
    <t>CR-V</t>
  </si>
  <si>
    <t>EX-L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</si>
  <si>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314622154/NONE</t>
  </si>
  <si>
    <t>Santa Fe</t>
  </si>
  <si>
    <t>Sport 2.4L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</si>
  <si>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304126140/NONE</t>
  </si>
  <si>
    <t>CX-5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</si>
  <si>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302355155/NONE</t>
  </si>
  <si>
    <t>SE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</si>
  <si>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310338769/NONE</t>
  </si>
  <si>
    <t>Jeep</t>
  </si>
  <si>
    <t>Renegade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</si>
  <si>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313420913/NONE</t>
  </si>
  <si>
    <t>Wrangler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</si>
  <si>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312495245/NONE</t>
  </si>
  <si>
    <t>Sport HSE LUX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</si>
  <si>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303723729/NONE</t>
  </si>
  <si>
    <t>GLK-Class</t>
  </si>
  <si>
    <t>GLK 350 4MATIC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</si>
  <si>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314875412/NONE</t>
  </si>
  <si>
    <t>Escalade</t>
  </si>
  <si>
    <t>ESV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</si>
  <si>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314416728/NONE</t>
  </si>
  <si>
    <t>Touareg</t>
  </si>
  <si>
    <t>TDI Lux</t>
  </si>
  <si>
    <t>https://www.cargurus.com/Cars/inventorylisting/viewDetailsFilterViewInventoryListing.action?zip=77433&amp;inventorySearchWidgetType=PRICE&amp;maxPrice=30000&amp;sortDir=ASC&amp;sourceContext=carGurusHomePagePrice&amp;bodyTypeGroupIds=7&amp;distance=50&amp;minPrice=20000&amp;sortType=DEAL_SCORE#listing=314220269/NONE</t>
  </si>
  <si>
    <t>https://www.cargurus.com/Cars/inventorylisting/viewDetailsFilterViewInventoryListing.action?zip=77433&amp;inventorySearchWidgetType=PRICE&amp;maxPrice=30000&amp;sortDir=ASC&amp;sourceContext=carGurusHomePagePrice&amp;bodyTypeGroupIds=7&amp;distance=50&amp;minPrice=20000&amp;sortType=DEAL_SCORE#listing=307706366/NONE</t>
  </si>
  <si>
    <t>SLT</t>
  </si>
  <si>
    <t>4x2</t>
  </si>
  <si>
    <t>https://www.cargurus.com/Cars/inventorylisting/viewDetailsFilterViewInventoryListing.action?zip=77433&amp;inventorySearchWidgetType=PRICE&amp;maxPrice=30000&amp;sortDir=ASC&amp;sourceContext=carGurusHomePagePrice&amp;bodyTypeGroupIds=7&amp;distance=50&amp;minPrice=20000&amp;sortType=DEAL_SCORE#listing=312224536/NONE</t>
  </si>
  <si>
    <t>Tiguan</t>
  </si>
  <si>
    <t>https://www.cargurus.com/Cars/inventorylisting/viewDetailsFilterViewInventoryListing.action?zip=77433&amp;inventorySearchWidgetType=PRICE&amp;maxPrice=30000&amp;sortDir=ASC&amp;sourceContext=carGurusHomePagePrice&amp;bodyTypeGroupIds=7&amp;distance=50&amp;minPrice=20000&amp;sortType=DEAL_SCORE#listing=314823368/NONE</t>
  </si>
  <si>
    <t>RAV4</t>
  </si>
  <si>
    <t>LE</t>
  </si>
  <si>
    <t>https://www.cargurus.com/Cars/inventorylisting/viewDetailsFilterViewInventoryListing.action?zip=77433&amp;inventorySearchWidgetType=PRICE&amp;maxPrice=30000&amp;sortDir=ASC&amp;sourceContext=carGurusHomePagePrice&amp;bodyTypeGroupIds=7&amp;distance=50&amp;minPrice=20000&amp;sortType=DEAL_SCORE#listing=306931532/NONE</t>
  </si>
  <si>
    <t>Q3</t>
  </si>
  <si>
    <t>2.0T Premium</t>
  </si>
  <si>
    <t>https://www.cargurus.com/Cars/inventorylisting/viewDetailsFilterViewInventoryListing.action?zip=77433&amp;inventorySearchWidgetType=PRICE&amp;maxPrice=30000&amp;sortDir=ASC&amp;sourceContext=carGurusHomePagePrice&amp;bodyTypeGroupIds=7&amp;distance=50&amp;minPrice=20000&amp;sortType=DEAL_SCORE#listing=294977943/NONE</t>
  </si>
  <si>
    <t>X5</t>
  </si>
  <si>
    <t>xDrive35i</t>
  </si>
  <si>
    <t>https://www.cargurus.com/Cars/inventorylisting/viewDetailsFilterViewInventoryListing.action?zip=77433&amp;inventorySearchWidgetType=PRICE&amp;maxPrice=30000&amp;sortDir=ASC&amp;sourceContext=carGurusHomePagePrice&amp;bodyTypeGroupIds=7&amp;distance=50&amp;minPrice=20000&amp;sortType=DEAL_SCORE#listing=312796147/NONE</t>
  </si>
  <si>
    <t>Unlimited Sahara</t>
  </si>
  <si>
    <t>AccidentsTF</t>
  </si>
  <si>
    <t>Age</t>
  </si>
  <si>
    <t>ManualTF</t>
  </si>
  <si>
    <t>ListedPrice</t>
  </si>
  <si>
    <t>Country</t>
  </si>
  <si>
    <t>Japan</t>
  </si>
  <si>
    <t>Germany</t>
  </si>
  <si>
    <t>USA</t>
  </si>
  <si>
    <t>Italy</t>
  </si>
  <si>
    <t>United Kingdom</t>
  </si>
  <si>
    <t>https://www.cargurus.com/Cars/inventorylisting/viewDetailsFilterViewInventoryListing.action?sourceContext=carGurusHomePageBody&amp;bodyTypeGroup=bg5&amp;minPrice=0&amp;maxPrice=10000&amp;zip=77433#listing=307672762/NONE</t>
  </si>
  <si>
    <t>Silverado</t>
  </si>
  <si>
    <t>1500 Work Truck LB</t>
  </si>
  <si>
    <t>Pickup</t>
  </si>
  <si>
    <t>https://www.cargurus.com/Cars/inventorylisting/viewDetailsFilterViewInventoryListing.action?sourceContext=carGurusHomePageBody&amp;bodyTypeGroup=bg5&amp;minPrice=0&amp;maxPrice=10000&amp;zip=77433#listing=314285945/NONE</t>
  </si>
  <si>
    <t>Tundra</t>
  </si>
  <si>
    <t>SR5 4.7L Double Cab</t>
  </si>
  <si>
    <t>https://www.cargurus.com/Cars/inventorylisting/viewDetailsFilterViewInventoryListing.action?sourceContext=carGurusHomePageBody&amp;bodyTypeGroup=bg5&amp;minPrice=0&amp;maxPrice=10000&amp;zip=77433#listing=311214206/NONE</t>
  </si>
  <si>
    <t>RAM 1500</t>
  </si>
  <si>
    <t>ST Quad Cab</t>
  </si>
  <si>
    <t>https://www.cargurus.com/Cars/inventorylisting/viewDetailsFilterViewInventoryListing.action?sourceContext=carGurusHomePageBody&amp;bodyTypeGroup=bg5&amp;minPrice=0&amp;maxPrice=10000&amp;zip=77433#listing=310744676/NONE</t>
  </si>
  <si>
    <t>Colorado</t>
  </si>
  <si>
    <t>LT Crew Cab</t>
  </si>
  <si>
    <t>I5</t>
  </si>
  <si>
    <t>https://www.cargurus.com/Cars/inventorylisting/viewDetailsFilterViewInventoryListing.action?sourceContext=carGurusHomePageBody&amp;bodyTypeGroup=bg5&amp;minPrice=0&amp;maxPrice=10000&amp;zip=77433#listing=305169893/NONE</t>
  </si>
  <si>
    <t>Tacoma</t>
  </si>
  <si>
    <t>Prerunner</t>
  </si>
  <si>
    <t>https://www.cargurus.com/Cars/inventorylisting/viewDetailsFilterViewInventoryListing.action?sourceContext=carGurusHomePageBody&amp;bodyTypeGroup=bg5&amp;minPrice=0&amp;maxPrice=10000&amp;zip=77433#listing=306156805/NONE</t>
  </si>
  <si>
    <t>F-150</t>
  </si>
  <si>
    <t>Lariat SuperCrew</t>
  </si>
  <si>
    <t>https://www.cargurus.com/Cars/inventorylisting/viewDetailsFilterViewInventoryListing.action?sourceContext=carGurusHomePageBody&amp;bodyTypeGroup=bg5&amp;minPrice=0&amp;maxPrice=10000&amp;zip=77433#listing=311823913/NONE</t>
  </si>
  <si>
    <t>Frontier</t>
  </si>
  <si>
    <t>4-door Nismo Crew Cab SB</t>
  </si>
  <si>
    <t>https://www.cargurus.com/Cars/inventorylisting/viewDetailsFilterViewInventoryListing.action?sourceContext=carGurusHomePageBody&amp;bodyTypeGroup=bg5&amp;minPrice=0&amp;maxPrice=10000&amp;zip=77433#listing=312029179/NONE</t>
  </si>
  <si>
    <t>Mitsubishi</t>
  </si>
  <si>
    <t>Raider</t>
  </si>
  <si>
    <t>LS Extended Cab</t>
  </si>
  <si>
    <t>https://www.cargurus.com/Cars/inventorylisting/viewDetailsFilterViewInventoryListing.action?sourceContext=carGurusHomePageBody&amp;bodyTypeGroup=bg5&amp;minPrice=0&amp;maxPrice=10000&amp;zip=77433#listing=302479496/NONE</t>
  </si>
  <si>
    <t>Ranger</t>
  </si>
  <si>
    <t>XL Standard Cab SB</t>
  </si>
  <si>
    <t>https://www.cargurus.com/Cars/inventorylisting/viewDetailsFilterViewInventoryListing.action?zip=77433&amp;inventorySearchWidgetType=PRICE&amp;fuelTypes=2&amp;maxPrice=20000&amp;sortDir=ASC&amp;beds=UNKNOWN&amp;sourceContext=carGurusHomePageBody&amp;bodyTypeGroupIds=5&amp;distance=50&amp;minPrice=0&amp;sortType=DEAL_SCORE#listing=312148186/NONE</t>
  </si>
  <si>
    <t>Town &amp; Country</t>
  </si>
  <si>
    <t>Minivan</t>
  </si>
  <si>
    <t>https://www.cargurus.com/Cars/inventorylisting/viewDetailsFilterViewInventoryListing.action?zip=77433&amp;inventorySearchWidgetType=PRICE&amp;fuelTypes=2&amp;maxPrice=20000&amp;sortDir=ASC&amp;beds=UNKNOWN&amp;sourceContext=carGurusHomePageBody&amp;bodyTypeGroupIds=5&amp;distance=50&amp;minPrice=0&amp;sortType=DEAL_SCORE#listing=310561345/NONE</t>
  </si>
  <si>
    <t>Pacifica</t>
  </si>
  <si>
    <t>L</t>
  </si>
  <si>
    <t>Odyssey</t>
  </si>
  <si>
    <t>https://www.cargurus.com/Cars/inventorylisting/viewDetailsFilterViewInventoryListing.action?zip=77433&amp;inventorySearchWidgetType=PRICE&amp;fuelTypes=2&amp;maxPrice=20000&amp;sortDir=ASC&amp;beds=UNKNOWN&amp;sourceContext=carGurusHomePageBody&amp;bodyTypeGroupIds=5&amp;distance=50&amp;minPrice=0&amp;sortType=DEAL_SCORE#listing=310322510/NONE</t>
  </si>
  <si>
    <t>https://www.cargurus.com/Cars/inventorylisting/viewDetailsFilterViewInventoryListing.action?zip=77433&amp;inventorySearchWidgetType=PRICE&amp;fuelTypes=2&amp;maxPrice=20000&amp;sortDir=ASC&amp;beds=UNKNOWN&amp;sourceContext=carGurusHomePageBody&amp;bodyTypeGroupIds=5&amp;distance=50&amp;minPrice=0&amp;sortType=DEAL_SCORE#listing=314645023/NONE</t>
  </si>
  <si>
    <t>MAZDA5</t>
  </si>
  <si>
    <t>https://www.cargurus.com/Cars/inventorylisting/viewDetailsFilterViewInventoryListing.action?zip=77433&amp;inventorySearchWidgetType=PRICE&amp;fuelTypes=2&amp;maxPrice=20000&amp;sortDir=ASC&amp;beds=UNKNOWN&amp;sourceContext=carGurusHomePageBody&amp;bodyTypeGroupIds=5&amp;distance=50&amp;minPrice=0&amp;sortType=DEAL_SCORE#listing=306191403/NONE</t>
  </si>
  <si>
    <t>Routan</t>
  </si>
  <si>
    <t>https://www.cargurus.com/Cars/inventorylisting/viewDetailsFilterViewInventoryListing.action?zip=77433&amp;inventorySearchWidgetType=PRICE&amp;fuelTypes=2&amp;maxPrice=20000&amp;sortDir=ASC&amp;beds=UNKNOWN&amp;sourceContext=carGurusHomePageBody&amp;bodyTypeGroupIds=5&amp;distance=50&amp;minPrice=0&amp;sortType=DEAL_SCORE#listing=312065643/NONE</t>
  </si>
  <si>
    <t>MPV</t>
  </si>
  <si>
    <t>https://www.cargurus.com/Cars/inventorylisting/viewDetailsFilterViewInventoryListing.action?zip=77433&amp;inventorySearchWidgetType=PRICE&amp;fuelTypes=2&amp;maxPrice=20000&amp;sortDir=ASC&amp;beds=UNKNOWN&amp;sourceContext=carGurusHomePageBody&amp;bodyTypeGroupIds=5&amp;distance=50&amp;minPrice=0&amp;sortType=DEAL_SCORE#listing=310290400/NONE</t>
  </si>
  <si>
    <t>Grand Caravan</t>
  </si>
  <si>
    <t>Crew</t>
  </si>
  <si>
    <t>https://www.cargurus.com/Cars/inventorylisting/viewDetailsFilterViewInventoryListing.action?zip=77433&amp;inventorySearchWidgetType=PRICE&amp;fuelTypes=2&amp;maxPrice=20000&amp;sortDir=ASC&amp;beds=UNKNOWN&amp;sourceContext=carGurusHomePageBody&amp;bodyTypeGroupIds=5&amp;distance=50&amp;minPrice=0&amp;sortType=DEAL_SCORE#listing=313073105/NONE</t>
  </si>
  <si>
    <t>Uplander</t>
  </si>
  <si>
    <t>LS Extended</t>
  </si>
  <si>
    <t>https://www.cargurus.com/Cars/inventorylisting/viewDetailsFilterViewInventoryListing.action?zip=77433&amp;inventorySearchWidgetType=PRICE&amp;fuelTypes=2&amp;maxPrice=20000&amp;sortDir=ASC&amp;beds=UNKNOWN&amp;sourceContext=carGurusHomePageBody&amp;bodyTypeGroupIds=5&amp;distance=50&amp;minPrice=0&amp;sortType=DEAL_SCORE#listing=311853894/NONE</t>
  </si>
  <si>
    <t>https://www.cargurus.com/Cars/inventorylisting/viewDetailsFilterViewInventoryListing.action?zip=77433&amp;inventorySearchWidgetType=PRICE&amp;fuelTypes=2&amp;maxPrice=20000&amp;sortDir=ASC&amp;beds=UNKNOWN&amp;sourceContext=carGurusHomePageBody&amp;bodyTypeGroupIds=5&amp;distance=50&amp;minPrice=0&amp;sortType=DEAL_SCORE#listing=314471897/NONE</t>
  </si>
  <si>
    <t>https://www.cargurus.com/Cars/inventorylisting/viewDetailsFilterViewInventoryListing.action?zip=77433&amp;inventorySearchWidgetType=PRICE&amp;fuelTypes=2&amp;maxPrice=20000&amp;sortDir=ASC&amp;beds=UNKNOWN&amp;sourceContext=carGurusHomePageBody&amp;bodyTypeGroupIds=5&amp;distance=50&amp;minPrice=0&amp;sortType=DEAL_SCORE#listing=310618469/NONE</t>
  </si>
  <si>
    <t>Sienna</t>
  </si>
  <si>
    <t>XLE 8-Passenger</t>
  </si>
  <si>
    <t>https://www.cargurus.com/Cars/inventorylisting/viewDetailsFilterViewInventoryListing.action?sourceContext=carGurusHomePageBody&amp;bodyTypeGroup=bg6&amp;minPrice=0&amp;maxPrice=30000&amp;zip=77433#listing=311413694/NONE</t>
  </si>
  <si>
    <t>WRX</t>
  </si>
  <si>
    <t>Sedan</t>
  </si>
  <si>
    <t>https://www.cargurus.com/Cars/inventorylisting/viewDetailsFilterViewInventoryListing.action?sourceContext=carGurusHomePageBody&amp;bodyTypeGroup=bg6&amp;minPrice=0&amp;maxPrice=30000&amp;zip=77433#listing=314608166/NONE</t>
  </si>
  <si>
    <t>https://www.cargurus.com/Cars/inventorylisting/viewDetailsFilterViewInventoryListing.action?sourceContext=carGurusHomePageBody&amp;bodyTypeGroup=bg6&amp;minPrice=0&amp;maxPrice=30000&amp;zip=77433#listing=312182972/NONE</t>
  </si>
  <si>
    <t>https://www.cargurus.com/Cars/inventorylisting/viewDetailsFilterViewInventoryListing.action?sourceContext=carGurusHomePageBody&amp;bodyTypeGroup=bg6&amp;minPrice=0&amp;maxPrice=30000&amp;zip=77433#listing=314910355/PRIORITY</t>
  </si>
  <si>
    <t>Kia</t>
  </si>
  <si>
    <t>Optima</t>
  </si>
  <si>
    <t>https://www.cargurus.com/Cars/inventorylisting/viewDetailsFilterViewInventoryListing.action?sourceContext=carGurusHomePageBody&amp;bodyTypeGroup=bg6&amp;minPrice=0&amp;maxPrice=30000&amp;zip=77433#listing=314653226/FEATURED</t>
  </si>
  <si>
    <t>MAZDA6</t>
  </si>
  <si>
    <t>i Grand Touring</t>
  </si>
  <si>
    <t>https://www.cargurus.com/Cars/inventorylisting/viewDetailsFilterViewInventoryListing.action?sourceContext=carGurusHomePageBody&amp;bodyTypeGroup=bg6&amp;minPrice=0&amp;maxPrice=30000&amp;zip=77433#listing=314365789/FEATURED</t>
  </si>
  <si>
    <t>https://www.cargurus.com/Cars/inventorylisting/viewDetailsFilterViewInventoryListing.action?sourceContext=carGurusHomePageBody&amp;bodyTypeGroup=bg6&amp;minPrice=0&amp;maxPrice=30000&amp;zip=77433#listing=314285803/NONE</t>
  </si>
  <si>
    <t>Fusion</t>
  </si>
  <si>
    <t>https://www.cargurus.com/Cars/inventorylisting/viewDetailsFilterViewInventoryListing.action?sourceContext=carGurusHomePageBody&amp;bodyTypeGroup=bg6&amp;minPrice=0&amp;maxPrice=30000&amp;zip=77433#listing=302799135/NONE</t>
  </si>
  <si>
    <t>Passat</t>
  </si>
  <si>
    <t>2.0T SE</t>
  </si>
  <si>
    <t>https://www.cargurus.com/Cars/inventorylisting/viewDetailsFilterViewInventoryListing.action?sourceContext=carGurusHomePageBody&amp;bodyTypeGroup=bg6&amp;minPrice=0&amp;maxPrice=30000&amp;zip=77433#listing=315152094/NONE</t>
  </si>
  <si>
    <t>Elantra</t>
  </si>
  <si>
    <t>https://www.cargurus.com/Cars/inventorylisting/viewDetailsFilterViewInventoryListing.action?sourceContext=carGurusHomePageBody&amp;bodyTypeGroup=bg6&amp;minPrice=0&amp;maxPrice=30000&amp;zip=77433#listing=314369583/NONE</t>
  </si>
  <si>
    <t>Sonic</t>
  </si>
  <si>
    <t>LT</t>
  </si>
  <si>
    <t>https://www.cargurus.com/Cars/inventorylisting/viewDetailsFilterViewInventoryListing.action?sourceContext=carGurusHomePageBody&amp;bodyTypeGroup=bg6&amp;minPrice=0&amp;maxPrice=30000&amp;zip=77433#listing=306991974/NONE</t>
  </si>
  <si>
    <t>IS 200t</t>
  </si>
  <si>
    <t>https://www.cargurus.com/Cars/inventorylisting/viewDetailsFilterViewInventoryListing.action?sourceContext=carGurusHomePageBody&amp;bodyTypeGroup=bg6&amp;minPrice=0&amp;maxPrice=30000&amp;zip=77433#listing=312867079/NONE</t>
  </si>
  <si>
    <t>https://www.cargurus.com/Cars/inventorylisting/viewDetailsFilterViewInventoryListing.action?sourceContext=carGurusHomePageBody&amp;bodyTypeGroup=bg6&amp;minPrice=0&amp;maxPrice=30000&amp;zip=77433#listing=304415181/HIGHLIGHT</t>
  </si>
  <si>
    <t>5 Series</t>
  </si>
  <si>
    <t>528i</t>
  </si>
  <si>
    <t>https://www.cargurus.com/Cars/inventorylisting/viewDetailsFilterViewInventoryListing.action?sourceContext=carGurusHomePageBody&amp;bodyTypeGroup=bg6&amp;minPrice=0&amp;maxPrice=30000&amp;zip=77433#listing=315152969/NONE</t>
  </si>
  <si>
    <t>https://www.cargurus.com/Cars/inventorylisting/viewDetailsFilterViewInventoryListing.action?sourceContext=carGurusHomePageBody&amp;bodyTypeGroup=bg6&amp;minPrice=0&amp;maxPrice=30000&amp;zip=77433#listing=312147736/NONE</t>
  </si>
  <si>
    <t>Sportback 2.0T quattro Premium Plus</t>
  </si>
  <si>
    <t>https://www.cargurus.com/Cars/inventorylisting/viewDetailsFilterViewInventoryListing.action?sourceContext=carGurusHomePageBody&amp;bodyTypeGroup=bg6&amp;minPrice=0&amp;maxPrice=30000&amp;zip=77433#listing=315108188/NONE</t>
  </si>
  <si>
    <t>Altima</t>
  </si>
  <si>
    <t>2.5 S</t>
  </si>
  <si>
    <t>https://www.cargurus.com/Cars/inventorylisting/viewDetailsFilterViewInventoryListing.action?sourceContext=carGurusHomePageBody&amp;bodyTypeGroup=bg6&amp;minPrice=0&amp;maxPrice=30000&amp;zip=77433#listing=313117369/NONE</t>
  </si>
  <si>
    <t>Corolla</t>
  </si>
  <si>
    <t>https://www.cargurus.com/Cars/inventorylisting/viewDetailsFilterViewInventoryListing.action?sourceContext=carGurusHomePageBody&amp;bodyTypeGroup=bg6&amp;minPrice=0&amp;maxPrice=30000&amp;zip=77433#listing=315063218/NONE</t>
  </si>
  <si>
    <t>Sonata</t>
  </si>
  <si>
    <t>GLS</t>
  </si>
  <si>
    <t>https://www.cargurus.com/Cars/inventorylisting/viewDetailsFilterViewInventoryListing.action?sourceContext=carGurusHomePageBody&amp;bodyTypeGroup=bg6&amp;minPrice=0&amp;maxPrice=30000&amp;zip=77433#listing=313653773/NONE</t>
  </si>
  <si>
    <t>https://www.cargurus.com/Cars/inventorylisting/viewDetailsFilterViewInventoryListing.action?sourceContext=carGurusHomePageBody&amp;bodyTypeGroup=bg6&amp;minPrice=0&amp;maxPrice=30000&amp;zip=77433#listing=311293983/FEATURED</t>
  </si>
  <si>
    <t>https://www.cargurus.com/Cars/inventorylisting/viewDetailsFilterViewInventoryListing.action?sourceContext=carGurusHomePageBody&amp;bodyTypeGroup=bg6&amp;minPrice=0&amp;maxPrice=30000&amp;zip=77433#listing=313114721/NONE</t>
  </si>
  <si>
    <t>https://www.cargurus.com/Cars/inventorylisting/viewDetailsFilterViewInventoryListing.action?sourceContext=carGurusHomePageBody&amp;bodyTypeGroup=bg6&amp;minPrice=0&amp;maxPrice=30000&amp;zip=77433#listing=310038667/NONE</t>
  </si>
  <si>
    <t>https://www.cargurus.com/Cars/inventorylisting/viewDetailsFilterViewInventoryListing.action?sourceContext=carGurusHomePageBody&amp;bodyTypeGroup=bg6&amp;minPrice=0&amp;maxPrice=30000&amp;zip=77433#listing=300864602/NONE</t>
  </si>
  <si>
    <t>https://www.cargurus.com/Cars/inventorylisting/viewDetailsFilterViewInventoryListing.action?sourceContext=carGurusHomePageBody&amp;bodyTypeGroup=bg6&amp;minPrice=0&amp;maxPrice=30000&amp;zip=77433#listing=314864807/NONE</t>
  </si>
  <si>
    <t>525i</t>
  </si>
  <si>
    <t>https://www.cargurus.com/Cars/inventorylisting/viewDetailsFilterViewInventoryListing.action?sourceContext=carGurusHomePageBody&amp;bodyTypeGroup=bg6&amp;minPrice=0&amp;maxPrice=30000&amp;zip=77433#listing=314128916/NONE</t>
  </si>
  <si>
    <t>435i Gran Coupe</t>
  </si>
  <si>
    <t>https://www.cargurus.com/Cars/inventorylisting/viewDetailsFilterViewInventoryListing.action?sourceContext=carGurusHomePageBody&amp;bodyTypeGroup=bg6&amp;minPrice=0&amp;maxPrice=30000&amp;zip=77433#listing=303134282/NONE</t>
  </si>
  <si>
    <t>7 Series</t>
  </si>
  <si>
    <t>740i</t>
  </si>
  <si>
    <t>https://www.cargurus.com/Cars/inventorylisting/viewDetailsFilterViewInventoryListing.action?sourceContext=carGurusHomePageBody&amp;bodyTypeGroup=bg6&amp;minPrice=0&amp;maxPrice=30000&amp;zip=77433#listing=314904268/NONE</t>
  </si>
  <si>
    <t>535i</t>
  </si>
  <si>
    <t>https://www.cargurus.com/Cars/inventorylisting/viewDetailsFilterViewInventoryListing.action?sourceContext=carGurusHomePageBody&amp;bodyTypeGroup=bg6&amp;minPrice=0&amp;maxPrice=30000&amp;zip=77433#listing=307771928/NONE</t>
  </si>
  <si>
    <t>GS</t>
  </si>
  <si>
    <t>https://www.cargurus.com/Cars/inventorylisting/viewDetailsFilterViewInventoryListing.action?sourceContext=carGurusHomePageBody&amp;bodyTypeGroup=bg6&amp;minPrice=0&amp;maxPrice=30000&amp;zip=77433#listing=248691064/NONE</t>
  </si>
  <si>
    <t>https://www.cargurus.com/Cars/inventorylisting/viewDetailsFilterViewInventoryListing.action?sourceContext=carGurusHomePageBody&amp;bodyTypeGroup=bg6&amp;minPrice=0&amp;maxPrice=30000&amp;zip=77433#listing=310139822/FEATURED</t>
  </si>
  <si>
    <t>Charger</t>
  </si>
  <si>
    <t>https://www.cargurus.com/Cars/inventorylisting/viewDetailsFilterViewInventoryListing.action?sourceContext=carGurusHomePageBody&amp;bodyTypeGroup=bg6&amp;minPrice=0&amp;maxPrice=30000&amp;zip=77433#listing=315122569/PRIORITY</t>
  </si>
  <si>
    <t>Taurus</t>
  </si>
  <si>
    <t>SEL</t>
  </si>
  <si>
    <t>https://www.cargurus.com/Cars/inventorylisting/viewDetailsFilterViewInventoryListing.action?sourceContext=carGurusHomePageBody&amp;bodyTypeGroup=bg6&amp;minPrice=0&amp;maxPrice=30000&amp;zip=77433#listing=294640948/FEATURED</t>
  </si>
  <si>
    <t>Maxima</t>
  </si>
  <si>
    <t>https://www.cargurus.com/Cars/inventorylisting/viewDetailsFilterViewInventoryListing.action?sourceContext=carGurusHomePageBody&amp;bodyTypeGroup=bg6&amp;minPrice=0&amp;maxPrice=30000&amp;zip=77433#listing=314221807/NONE</t>
  </si>
  <si>
    <t>Q50</t>
  </si>
  <si>
    <t>3.7 Sport</t>
  </si>
  <si>
    <t>https://www.cargurus.com/Cars/inventorylisting/viewDetailsFilterViewInventoryListing.action?sourceContext=carGurusHomePageBody&amp;bodyTypeGroup=bg6&amp;minPrice=0&amp;maxPrice=30000&amp;zip=77433#listing=314286885/NONE</t>
  </si>
  <si>
    <t>CTS</t>
  </si>
  <si>
    <t>3.0L</t>
  </si>
  <si>
    <t>https://www.cargurus.com/Cars/inventorylisting/viewDetailsFilterViewInventoryListing.action?sourceContext=carGurusHomePageBody&amp;bodyTypeGroup=bg6&amp;minPrice=0&amp;maxPrice=30000&amp;zip=77433#listing=314471631/NONE</t>
  </si>
  <si>
    <t>XF</t>
  </si>
  <si>
    <t>35t</t>
  </si>
  <si>
    <t>https://www.cargurus.com/Cars/inventorylisting/viewDetailsFilterViewInventoryListing.action?sourceContext=carGurusHomePageBody&amp;bodyTypeGroup=bg6&amp;minPrice=0&amp;maxPrice=30000&amp;zip=77433#listing=313895852/NONE</t>
  </si>
  <si>
    <t>ES 350</t>
  </si>
  <si>
    <t>XJ-Series</t>
  </si>
  <si>
    <t>https://www.cargurus.com/Cars/inventorylisting/viewDetailsFilterViewInventoryListing.action?sourceContext=carGurusHomePageBody&amp;bodyTypeGroup=bg6&amp;minPrice=0&amp;maxPrice=30000&amp;zip=77433#listing=313421645/NONE</t>
  </si>
  <si>
    <t>Genesis</t>
  </si>
  <si>
    <t>https://www.cargurus.com/Cars/inventorylisting/viewDetailsFilterViewInventoryListing.action?sourceContext=carGurusHomePageBody&amp;bodyTypeGroup=bg6&amp;minPrice=0&amp;maxPrice=30000&amp;zip=77433#listing=313501463/FEATURED</t>
  </si>
  <si>
    <t>C 350 Sport</t>
  </si>
  <si>
    <t>https://www.cargurus.com/Cars/inventorylisting/viewDetailsFilterViewInventoryListing.action?sourceContext=carGurusHomePageBody&amp;bodyTypeGroup=bg6&amp;minPrice=0&amp;maxPrice=30000&amp;zip=77433#listing=304577467/NONE</t>
  </si>
  <si>
    <t>https://www.cargurus.com/Cars/inventorylisting/viewDetailsFilterViewInventoryListing.action?sourceContext=carGurusHomePageBody&amp;bodyTypeGroup=bg6&amp;minPrice=0&amp;maxPrice=30000&amp;zip=77433#listing=302578051/NONE</t>
  </si>
  <si>
    <t>GS 350</t>
  </si>
  <si>
    <t>https://www.cargurus.com/Cars/inventorylisting/viewDetailsFilterViewInventoryListing.action?sourceContext=carGurusHomePageBody&amp;bodyTypeGroup=bg6&amp;minPrice=0&amp;maxPrice=30000&amp;zip=77433#listing=311747782/NONE</t>
  </si>
  <si>
    <t>TL</t>
  </si>
  <si>
    <t>https://www.cargurus.com/Cars/inventorylisting/viewDetailsFilterViewInventoryListing.action?sourceContext=carGurusHomePageBody&amp;bodyTypeGroup=bg6&amp;minPrice=0&amp;maxPrice=30000&amp;zip=77433#listing=309475497/NONE</t>
  </si>
  <si>
    <t>LaCrosse</t>
  </si>
  <si>
    <t>Leather</t>
  </si>
  <si>
    <t>https://www.cargurus.com/Cars/inventorylisting/viewDetailsFilterViewInventoryListing.action?sourceContext=carGurusHomePageBody&amp;bodyTypeGroup=bg6&amp;minPrice=0&amp;maxPrice=30000&amp;zip=77433#listing=297231252/NONE</t>
  </si>
  <si>
    <t>MKZ</t>
  </si>
  <si>
    <t>https://www.cargurus.com/Cars/inventorylisting/viewDetailsFilterViewInventoryListing.action?sourceContext=carGurusHomePageBody&amp;bodyTypeGroup=bg6&amp;minPrice=0&amp;maxPrice=30000&amp;zip=77433#listing=314197784/NONE</t>
  </si>
  <si>
    <t>XJL Supersport</t>
  </si>
  <si>
    <t>https://www.cargurus.com/Cars/inventorylisting/viewDetailsFilterViewInventoryListing.action?sourceContext=carGurusHomePageBody&amp;bodyTypeGroup=bg6&amp;minPrice=0&amp;maxPrice=30000&amp;zip=77433#listing=314141877/NONE</t>
  </si>
  <si>
    <t>https://www.cargurus.com/Cars/inventorylisting/viewDetailsFilterViewInventoryListing.action?sourceContext=carGurusHomePageBody&amp;bodyTypeGroup=bg6&amp;minPrice=0&amp;maxPrice=30000&amp;zip=77433#listing=314813846/NONE</t>
  </si>
  <si>
    <t>550i</t>
  </si>
  <si>
    <t>https://www.cargurus.com/Cars/inventorylisting/viewDetailsFilterViewInventoryListing.action?sourceContext=carGurusHomePageBody&amp;bodyTypeGroup=bg6&amp;minPrice=0&amp;maxPrice=30000&amp;zip=77433#listing=312275989/NONE</t>
  </si>
  <si>
    <t>LS 430</t>
  </si>
  <si>
    <t>https://www.cargurus.com/Cars/inventorylisting/viewDetailsFilterViewInventoryListing.action?sourceContext=carGurusHomePageBody&amp;bodyTypeGroup=bg6&amp;minPrice=0&amp;maxPrice=30000&amp;zip=77433#listing=314043828/NONE</t>
  </si>
  <si>
    <t>CLS-Class</t>
  </si>
  <si>
    <t>CLS 500</t>
  </si>
  <si>
    <t>https://www.cargurus.com/Cars/inventorylisting/viewDetailsFilterViewInventoryListing.action?sourceContext=carGurusHomePageBody&amp;bodyTypeGroup=bg6&amp;minPrice=0&amp;maxPrice=30000&amp;zip=77433#listing=314143215/NONE</t>
  </si>
  <si>
    <t>DTS</t>
  </si>
  <si>
    <t>https://www.cargurus.com/Cars/inventorylisting/viewDetailsFilterViewInventoryListing.action?sourceContext=carGurusHomePageBody&amp;bodyTypeGroup=bg6&amp;minPrice=0&amp;maxPrice=30000&amp;zip=77433#listing=311118561/NONE</t>
  </si>
  <si>
    <t>Equus</t>
  </si>
  <si>
    <t>Signature</t>
  </si>
  <si>
    <t>https://www.cargurus.com/Cars/inventorylisting/viewDetailsFilterViewInventoryListing.action?sourceContext=carGurusHomePageBody&amp;bodyTypeGroup=bg6&amp;minPrice=0&amp;maxPrice=30000&amp;zip=77433#listing=312619011/NONE</t>
  </si>
  <si>
    <t>https://www.cargurus.com/Cars/inventorylisting/viewDetailsFilterViewInventoryListing.action?sourceContext=carGurusHomePageBody&amp;bodyTypeGroup=bg6&amp;minPrice=0&amp;maxPrice=30000&amp;zip=77433#listing=310565009/NONE</t>
  </si>
  <si>
    <t>S-Class</t>
  </si>
  <si>
    <t>S 430</t>
  </si>
  <si>
    <t>https://www.cargurus.com/Cars/inventorylisting/viewDetailsFilterViewInventoryListing.action?sourceContext=carGurusHomePageBody&amp;bodyTypeGroup=bg6&amp;minPrice=0&amp;maxPrice=30000&amp;zip=77433#listing=313734699/NONE</t>
  </si>
  <si>
    <t>https://www.cargurus.com/Cars/inventorylisting/viewDetailsFilterViewInventoryListing.action?sourceContext=carGurusHomePageBody&amp;bodyTypeGroup=bg6&amp;minPrice=0&amp;maxPrice=30000&amp;zip=77433#listing=309499600/NONE</t>
  </si>
  <si>
    <t>CLS 550</t>
  </si>
  <si>
    <t>https://www.cargurus.com/Cars/inventorylisting/viewDetailsFilterViewInventoryListing.action?sourceContext=carGurusHomePageBody&amp;bodyTypeGroup=bg6&amp;minPrice=0&amp;maxPrice=30000&amp;zip=77433#listing=305065736/NONE</t>
  </si>
  <si>
    <t>S 550</t>
  </si>
  <si>
    <t>https://www.cargurus.com/Cars/inventorylisting/viewDetailsFilterViewInventoryListing.action?sourceContext=carGurusHomePageBody&amp;bodyTypeGroup=bg6&amp;minPrice=0&amp;maxPrice=30000&amp;zip=77433#listing=308959935/NONE</t>
  </si>
  <si>
    <t>https://www.cargurus.com/Cars/inventorylisting/viewDetailsFilterViewInventoryListing.action?sourceContext=carGurusHomePageBody&amp;bodyTypeGroup=bg6&amp;minPrice=0&amp;maxPrice=30000&amp;zip=77433#listing=313523467/NONE</t>
  </si>
  <si>
    <t>LS 460</t>
  </si>
  <si>
    <t>https://www.cargurus.com/Cars/inventorylisting/viewDetailsFilterViewInventoryListing.action?sourceContext=carGurusHomePageBody&amp;bodyTypeGroup=bg6&amp;minPrice=0&amp;maxPrice=30000&amp;zip=77433#listing=307280897/NONE</t>
  </si>
  <si>
    <t>https://www.cargurus.com/Cars/inventorylisting/viewDetailsFilterViewInventoryListing.action?sourceContext=carGurusHomePageBody&amp;bodyTypeGroup=bg6&amp;minPrice=0&amp;maxPrice=30000&amp;zip=77433#listing=309973583/NONE</t>
  </si>
  <si>
    <t>A8</t>
  </si>
  <si>
    <t>L 4.0T quattro</t>
  </si>
  <si>
    <t>https://www.cargurus.com/Cars/inventorylisting/viewDetailsFilterViewInventoryListing.action?sourceContext=carGurusHomePageBody&amp;bodyTypeGroup=bg6&amp;minPrice=0&amp;maxPrice=30000&amp;zip=77433#listing=312489131/NONE</t>
  </si>
  <si>
    <t>K900</t>
  </si>
  <si>
    <t>https://www.cargurus.com/Cars/inventorylisting/viewDetailsFilterViewInventoryListing.action?sourceContext=carGurusHomePageBody&amp;bodyTypeGroup=bg6&amp;minPrice=0&amp;maxPrice=30000&amp;zip=77433#listing=313941431/NONE</t>
  </si>
  <si>
    <t>https://www.cargurus.com/Cars/inventorylisting/viewDetailsFilterViewInventoryListing.action?sourceContext=carGurusHomePageBody&amp;bodyTypeGroup=bg6&amp;minPrice=0&amp;maxPrice=30000&amp;zip=77433#listing=309433334/NONE</t>
  </si>
  <si>
    <t>750i xDrive</t>
  </si>
  <si>
    <t>https://www.cargurus.com/Cars/inventorylisting/viewDetailsFilterViewInventoryListing.action?sourceContext=carGurusHomePageBody&amp;bodyTypeGroup=bg6&amp;minPrice=0&amp;maxPrice=30000&amp;zip=77433#listing=309413529/NONE</t>
  </si>
  <si>
    <t>https://www.cargurus.com/Cars/inventorylisting/viewDetailsFilterViewInventoryListing.action?sourceContext=carGurusHomePageBody&amp;bodyTypeGroup=bg6&amp;minPrice=0&amp;maxPrice=30000&amp;zip=77433#listing=308976373/NONE</t>
  </si>
  <si>
    <t>750Li xDrive</t>
  </si>
  <si>
    <t>https://www.cargurus.com/Cars/inventorylisting/viewDetailsFilterViewInventoryListing.action?sourceContext=carGurusHomePageBody&amp;bodyTypeGroup=bg6&amp;minPrice=0&amp;maxPrice=30000&amp;zip=77433#listing=313729831/NONE</t>
  </si>
  <si>
    <t>5.0</t>
  </si>
  <si>
    <t>https://www.cargurus.com/Cars/inventorylisting/viewDetailsFilterViewInventoryListing.action?sourceContext=carGurusHomePageBody&amp;bodyTypeGroup=bg6&amp;minPrice=0&amp;maxPrice=30000&amp;zip=77433#listing=314776513/NONE</t>
  </si>
  <si>
    <t>https://www.cargurus.com/Cars/inventorylisting/viewDetailsFilterViewInventoryListing.action?sourceContext=carGurusHomePageBody&amp;bodyTypeGroup=bg6&amp;minPrice=0&amp;maxPrice=30000&amp;zip=77433#listing=307960313/NONE</t>
  </si>
  <si>
    <t>L quattro</t>
  </si>
  <si>
    <t>https://www.cargurus.com/Cars/inventorylisting/viewDetailsFilterViewInventoryListing.action?sourceContext=carGurusHomePageBody&amp;bodyTypeGroup=bg6&amp;minPrice=0&amp;maxPrice=30000&amp;zip=77433#listing=309402199/NONE</t>
  </si>
  <si>
    <t>Premium Luxury</t>
  </si>
  <si>
    <t>https://www.cargurus.com/Cars/inventorylisting/viewDetailsFilterViewInventoryListing.action?sourceContext=carGurusHomePageBody&amp;bodyTypeGroup=bg6&amp;minPrice=0&amp;maxPrice=30000&amp;zip=77433#listing=313284978/NONE</t>
  </si>
  <si>
    <t>Mercury</t>
  </si>
  <si>
    <t>Grand Marquis</t>
  </si>
  <si>
    <t>https://www.cargurus.com/Cars/inventorylisting/viewDetailsFilterViewInventoryListing.action?sourceContext=carGurusHomePageBody&amp;bodyTypeGroup=bg6&amp;minPrice=0&amp;maxPrice=30000&amp;zip=77433#listing=314885215/NONE</t>
  </si>
  <si>
    <t>https://www.cargurus.com/Cars/inventorylisting/viewDetailsFilterViewInventoryListing.action?zip=77433&amp;fuelTypes=2&amp;sortDir=ASC&amp;sourceContext=carGurusHomePageBody&amp;distance=50&amp;sortType=DEAL_SCORE&amp;entitySelectingHelper.selectedEntity=m203#listing=312923008/NONE</t>
  </si>
  <si>
    <t>G80</t>
  </si>
  <si>
    <t>3.8L</t>
  </si>
  <si>
    <t>https://www.cargurus.com/Cars/inventorylisting/viewDetailsFilterViewInventoryListing.action?zip=77433&amp;fuelTypes=2&amp;sortDir=ASC&amp;sourceContext=carGurusHomePageBody&amp;distance=50&amp;sortType=DEAL_SCORE&amp;entitySelectingHelper.selectedEntity=m203#listing=313286155/NONE</t>
  </si>
  <si>
    <t>https://www.cargurus.com/Cars/inventorylisting/viewDetailsFilterViewInventoryListing.action?zip=77433&amp;fuelTypes=2&amp;sortDir=ASC&amp;sourceContext=carGurusHomePageBody&amp;distance=50&amp;sortType=DEAL_SCORE&amp;entitySelectingHelper.selectedEntity=m203#listing=312367768/NONE</t>
  </si>
  <si>
    <t>South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</si>
</sst>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3" fontId="0" fillId="0" borderId="0" xfId="0" applyNumberFormat="1"/>
    <xf numFmtId="164" fontId="0" fillId="0" borderId="0" xfId="1" applyNumberFormat="1" applyFont="1"/>
    <xf numFmtId="14" fontId="0" fillId="0" borderId="0" xfId="0" applyNumberFormat="1"/>
    <xf numFmtId="1" fontId="2" fillId="0" borderId="0" xfId="0" applyNumberFormat="1" applyFont="1"/>
    <xf numFmtId="1" fontId="0" fillId="0" borderId="0" xfId="0" applyNumberFormat="1"/>
    <xf numFmtId="1" fontId="2" fillId="0" borderId="0" xfId="1" applyNumberFormat="1" applyFont="1"/>
    <xf numFmtId="1" fontId="0" fillId="0" borderId="0" xfId="1" applyNumberFormat="1" applyFont="1"/>
    <xf numFmtId="14" fontId="0" fillId="2" borderId="0" xfId="0" applyNumberFormat="1" applyFill="1"/>
    <xf numFmtId="0" fontId="0" fillId="2" borderId="0" xfId="0" applyFill="1"/>
    <xf numFmtId="164" fontId="0" fillId="2" borderId="0" xfId="1" applyNumberFormat="1" applyFont="1" applyFill="1"/>
    <xf numFmtId="3" fontId="0" fillId="2" borderId="0" xfId="0" applyNumberFormat="1" applyFill="1"/>
    <xf numFmtId="0" fontId="0" fillId="0" borderId="0" xfId="0" quotePrefix="1"/>
    <xf numFmtId="14" fontId="0" fillId="0" borderId="0" xfId="0" applyNumberFormat="1" applyFill="1"/>
    <xf numFmtId="0" fontId="0" fillId="0" borderId="0" xfId="0" applyFill="1"/>
    <xf numFmtId="164" fontId="0" fillId="0" borderId="0" xfId="1" applyNumberFormat="1" applyFont="1" applyFill="1"/>
    <xf numFmtId="3" fontId="0" fillId="0" borderId="0" xfId="0" applyNumberFormat="1" applyFill="1"/>
    <xf numFmtId="0" fontId="2" fillId="2" borderId="0" xfId="0" applyFont="1" applyFill="1"/>
    <xf numFmtId="1" fontId="2" fillId="2" borderId="0" xfId="1" applyNumberFormat="1" applyFont="1" applyFill="1"/>
    <xf numFmtId="1" fontId="2" fillId="2" borderId="0" xfId="0" applyNumberFormat="1" applyFont="1" applyFill="1"/>
    <xf numFmtId="1" fontId="0" fillId="2" borderId="0" xfId="0" applyNumberFormat="1" applyFill="1"/>
    <xf numFmtId="0" fontId="0" fillId="2" borderId="0" xfId="0" quotePrefix="1" applyFill="1"/>
  </cellXfs>
  <cellStyles count="2">
    <cellStyle name="Currency" xfId="1" builtinId="4"/>
    <cellStyle name="Normal" xfId="0" builtinId="0"/>
  </cellStyles>
  <dxfs count="5"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40C9-210C-4EDD-9161-9C75AA5E00A7}">
  <dimension ref="A1:X214"/>
  <sheetViews>
    <sheetView tabSelected="1" workbookViewId="0">
      <pane xSplit="8" ySplit="1" topLeftCell="I51" activePane="bottomRight" state="frozen"/>
      <selection pane="topRight" activeCell="H1" sqref="H1"/>
      <selection pane="bottomLeft" activeCell="A2" sqref="A2"/>
      <selection pane="bottomRight"/>
    </sheetView>
  </sheetViews>
  <sheetFormatPr defaultRowHeight="14.4" x14ac:dyDescent="0.3"/>
  <cols>
    <col min="1" max="1" width="10.5546875" bestFit="1" customWidth="1"/>
    <col min="3" max="3" width="8.6640625" style="8" bestFit="1" customWidth="1"/>
    <col min="4" max="4" width="6.88671875" bestFit="1" customWidth="1"/>
    <col min="9" max="9" width="9.5546875" style="6" bestFit="1" customWidth="1"/>
    <col min="12" max="12" width="4.44140625" bestFit="1" customWidth="1"/>
    <col min="13" max="13" width="4" bestFit="1" customWidth="1"/>
    <col min="15" max="15" width="6.6640625" bestFit="1" customWidth="1"/>
    <col min="17" max="17" width="5.33203125" bestFit="1" customWidth="1"/>
  </cols>
  <sheetData>
    <row r="1" spans="1:24" s="1" customFormat="1" x14ac:dyDescent="0.3">
      <c r="A1" s="1" t="s">
        <v>166</v>
      </c>
      <c r="B1" s="1" t="s">
        <v>0</v>
      </c>
      <c r="C1" s="7" t="s">
        <v>331</v>
      </c>
      <c r="D1" s="1" t="s">
        <v>2</v>
      </c>
      <c r="E1" s="1" t="s">
        <v>1</v>
      </c>
      <c r="F1" s="1" t="s">
        <v>3</v>
      </c>
      <c r="G1" s="1" t="s">
        <v>4</v>
      </c>
      <c r="H1" s="1" t="s">
        <v>18</v>
      </c>
      <c r="I1" s="5" t="s">
        <v>6</v>
      </c>
      <c r="J1" s="1" t="s">
        <v>330</v>
      </c>
      <c r="K1" s="1" t="s">
        <v>7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14</v>
      </c>
      <c r="Q1" s="1" t="s">
        <v>15</v>
      </c>
      <c r="R1" s="1" t="s">
        <v>80</v>
      </c>
      <c r="S1" s="1" t="s">
        <v>328</v>
      </c>
      <c r="T1" s="1" t="s">
        <v>23</v>
      </c>
      <c r="U1" s="1" t="s">
        <v>24</v>
      </c>
      <c r="V1" s="1" t="s">
        <v>31</v>
      </c>
      <c r="W1" s="1" t="s">
        <v>329</v>
      </c>
      <c r="X1" s="1" t="s">
        <v>332</v>
      </c>
    </row>
    <row r="2" spans="1:24" x14ac:dyDescent="0.3">
      <c r="A2" s="14">
        <v>44489</v>
      </c>
      <c r="B2" s="15" t="s">
        <v>37</v>
      </c>
      <c r="C2" s="16">
        <v>8995</v>
      </c>
      <c r="D2" s="15">
        <v>2003</v>
      </c>
      <c r="E2" s="15" t="s">
        <v>38</v>
      </c>
      <c r="F2" s="15" t="s">
        <v>39</v>
      </c>
      <c r="G2" s="15" t="s">
        <v>40</v>
      </c>
      <c r="H2" s="15" t="s">
        <v>22</v>
      </c>
      <c r="I2" s="17">
        <v>58223</v>
      </c>
      <c r="J2" s="15" t="b">
        <v>0</v>
      </c>
      <c r="K2" s="15" t="s">
        <v>8</v>
      </c>
      <c r="L2" s="15" t="s">
        <v>30</v>
      </c>
      <c r="M2" s="15">
        <v>180</v>
      </c>
      <c r="N2" s="15">
        <v>1.8</v>
      </c>
      <c r="O2" s="15" t="s">
        <v>13</v>
      </c>
      <c r="P2" s="15">
        <v>22</v>
      </c>
      <c r="Q2" s="15" t="s">
        <v>16</v>
      </c>
      <c r="R2" s="15" t="s">
        <v>17</v>
      </c>
      <c r="S2" t="b">
        <v>0</v>
      </c>
      <c r="T2" s="15">
        <v>4</v>
      </c>
      <c r="U2" s="15" t="s">
        <v>17</v>
      </c>
      <c r="V2" s="15" t="s">
        <v>17</v>
      </c>
      <c r="W2">
        <f t="shared" ref="W2:W33" si="0">2021-D2</f>
        <v>18</v>
      </c>
      <c r="X2" t="s">
        <v>334</v>
      </c>
    </row>
    <row r="3" spans="1:24" x14ac:dyDescent="0.3">
      <c r="A3" s="14">
        <v>44489</v>
      </c>
      <c r="B3" s="15" t="s">
        <v>96</v>
      </c>
      <c r="C3" s="16">
        <v>19995</v>
      </c>
      <c r="D3" s="15">
        <v>2011</v>
      </c>
      <c r="E3" s="15" t="s">
        <v>38</v>
      </c>
      <c r="F3" s="15" t="s">
        <v>97</v>
      </c>
      <c r="G3" s="15" t="s">
        <v>98</v>
      </c>
      <c r="H3" s="15" t="s">
        <v>22</v>
      </c>
      <c r="I3" s="17">
        <v>50340</v>
      </c>
      <c r="J3" s="15" t="b">
        <v>0</v>
      </c>
      <c r="K3" s="15" t="s">
        <v>8</v>
      </c>
      <c r="L3" s="15" t="s">
        <v>30</v>
      </c>
      <c r="M3" s="15">
        <v>211</v>
      </c>
      <c r="N3" s="15">
        <v>2</v>
      </c>
      <c r="O3" s="15" t="s">
        <v>13</v>
      </c>
      <c r="P3" s="15">
        <v>26</v>
      </c>
      <c r="Q3" s="15" t="s">
        <v>16</v>
      </c>
      <c r="R3" s="15" t="s">
        <v>17</v>
      </c>
      <c r="S3" t="b">
        <v>0</v>
      </c>
      <c r="T3" s="15">
        <v>2</v>
      </c>
      <c r="U3" s="15" t="s">
        <v>17</v>
      </c>
      <c r="V3" s="15" t="s">
        <v>17</v>
      </c>
      <c r="W3">
        <f t="shared" si="0"/>
        <v>10</v>
      </c>
      <c r="X3" t="s">
        <v>334</v>
      </c>
    </row>
    <row r="4" spans="1:24" x14ac:dyDescent="0.3">
      <c r="A4" s="14">
        <v>44489</v>
      </c>
      <c r="B4" s="15" t="s">
        <v>41</v>
      </c>
      <c r="C4" s="16">
        <v>5900</v>
      </c>
      <c r="D4" s="15">
        <v>1996</v>
      </c>
      <c r="E4" s="15" t="s">
        <v>42</v>
      </c>
      <c r="F4" s="15" t="s">
        <v>43</v>
      </c>
      <c r="G4" s="15">
        <v>1.9</v>
      </c>
      <c r="H4" s="15" t="s">
        <v>22</v>
      </c>
      <c r="I4" s="17">
        <v>181650</v>
      </c>
      <c r="J4" s="15" t="b">
        <v>1</v>
      </c>
      <c r="K4" s="15" t="s">
        <v>36</v>
      </c>
      <c r="L4" s="15" t="s">
        <v>30</v>
      </c>
      <c r="M4" s="15">
        <v>138</v>
      </c>
      <c r="N4" s="15">
        <v>1.9</v>
      </c>
      <c r="O4" s="15" t="s">
        <v>13</v>
      </c>
      <c r="P4" s="15">
        <v>24</v>
      </c>
      <c r="Q4" s="15" t="s">
        <v>16</v>
      </c>
      <c r="R4" s="15" t="s">
        <v>17</v>
      </c>
      <c r="S4" t="b">
        <v>0</v>
      </c>
      <c r="T4" s="15">
        <v>6</v>
      </c>
      <c r="U4" s="15" t="s">
        <v>17</v>
      </c>
      <c r="V4" s="15" t="s">
        <v>17</v>
      </c>
      <c r="W4">
        <f t="shared" si="0"/>
        <v>25</v>
      </c>
      <c r="X4" t="s">
        <v>334</v>
      </c>
    </row>
    <row r="5" spans="1:24" x14ac:dyDescent="0.3">
      <c r="A5" s="14">
        <v>44489</v>
      </c>
      <c r="B5" s="15" t="s">
        <v>50</v>
      </c>
      <c r="C5" s="16">
        <v>9495</v>
      </c>
      <c r="D5" s="15">
        <v>2008</v>
      </c>
      <c r="E5" s="15" t="s">
        <v>42</v>
      </c>
      <c r="F5" s="15" t="s">
        <v>51</v>
      </c>
      <c r="G5" s="15" t="s">
        <v>52</v>
      </c>
      <c r="H5" s="15" t="s">
        <v>22</v>
      </c>
      <c r="I5" s="17">
        <v>113826</v>
      </c>
      <c r="J5" s="15" t="b">
        <v>1</v>
      </c>
      <c r="K5" s="15" t="s">
        <v>36</v>
      </c>
      <c r="L5" s="15" t="s">
        <v>30</v>
      </c>
      <c r="M5" s="15">
        <v>230</v>
      </c>
      <c r="N5" s="15">
        <v>3</v>
      </c>
      <c r="O5" s="15" t="s">
        <v>49</v>
      </c>
      <c r="P5" s="15">
        <v>21</v>
      </c>
      <c r="Q5" s="15" t="s">
        <v>16</v>
      </c>
      <c r="R5" s="15" t="s">
        <v>17</v>
      </c>
      <c r="S5" t="b">
        <v>0</v>
      </c>
      <c r="T5" s="15">
        <v>4</v>
      </c>
      <c r="U5" s="15" t="s">
        <v>17</v>
      </c>
      <c r="V5" s="15" t="s">
        <v>17</v>
      </c>
      <c r="W5">
        <f t="shared" si="0"/>
        <v>13</v>
      </c>
      <c r="X5" t="s">
        <v>334</v>
      </c>
    </row>
    <row r="6" spans="1:24" x14ac:dyDescent="0.3">
      <c r="A6" s="14">
        <v>44489</v>
      </c>
      <c r="B6" s="15" t="s">
        <v>53</v>
      </c>
      <c r="C6" s="16">
        <v>9495</v>
      </c>
      <c r="D6" s="15">
        <v>2002</v>
      </c>
      <c r="E6" s="15" t="s">
        <v>42</v>
      </c>
      <c r="F6" s="15" t="s">
        <v>51</v>
      </c>
      <c r="G6" s="15" t="s">
        <v>54</v>
      </c>
      <c r="H6" s="15" t="s">
        <v>22</v>
      </c>
      <c r="I6" s="17">
        <v>107355</v>
      </c>
      <c r="J6" s="15" t="b">
        <v>1</v>
      </c>
      <c r="K6" s="15" t="s">
        <v>36</v>
      </c>
      <c r="L6" s="15" t="s">
        <v>30</v>
      </c>
      <c r="M6" s="15">
        <v>225</v>
      </c>
      <c r="N6" s="15">
        <v>3</v>
      </c>
      <c r="O6" s="15" t="s">
        <v>49</v>
      </c>
      <c r="P6" s="15">
        <v>21</v>
      </c>
      <c r="Q6" s="15" t="s">
        <v>16</v>
      </c>
      <c r="R6" s="15" t="s">
        <v>17</v>
      </c>
      <c r="S6" t="b">
        <v>0</v>
      </c>
      <c r="T6" s="15">
        <v>5</v>
      </c>
      <c r="U6" s="15" t="s">
        <v>17</v>
      </c>
      <c r="V6" s="15" t="s">
        <v>17</v>
      </c>
      <c r="W6">
        <f t="shared" si="0"/>
        <v>19</v>
      </c>
      <c r="X6" t="s">
        <v>334</v>
      </c>
    </row>
    <row r="7" spans="1:24" x14ac:dyDescent="0.3">
      <c r="A7" s="14">
        <v>44489</v>
      </c>
      <c r="B7" s="15" t="s">
        <v>102</v>
      </c>
      <c r="C7" s="16">
        <v>20000</v>
      </c>
      <c r="D7" s="15">
        <v>2005</v>
      </c>
      <c r="E7" s="15" t="s">
        <v>42</v>
      </c>
      <c r="F7" s="15" t="s">
        <v>51</v>
      </c>
      <c r="G7" s="15" t="s">
        <v>103</v>
      </c>
      <c r="H7" s="15" t="s">
        <v>22</v>
      </c>
      <c r="I7" s="17">
        <v>75020</v>
      </c>
      <c r="J7" s="15" t="b">
        <v>1</v>
      </c>
      <c r="K7" s="15" t="s">
        <v>36</v>
      </c>
      <c r="L7" s="15" t="s">
        <v>30</v>
      </c>
      <c r="M7" s="15">
        <v>333</v>
      </c>
      <c r="N7" s="15">
        <v>3.2</v>
      </c>
      <c r="O7" s="15" t="s">
        <v>49</v>
      </c>
      <c r="P7" s="15">
        <v>17</v>
      </c>
      <c r="Q7" s="15" t="s">
        <v>16</v>
      </c>
      <c r="R7" s="15" t="s">
        <v>17</v>
      </c>
      <c r="S7" t="b">
        <v>0</v>
      </c>
      <c r="T7" s="15">
        <v>2</v>
      </c>
      <c r="U7" s="15" t="s">
        <v>17</v>
      </c>
      <c r="V7" s="15" t="s">
        <v>17</v>
      </c>
      <c r="W7">
        <f t="shared" si="0"/>
        <v>16</v>
      </c>
      <c r="X7" t="s">
        <v>334</v>
      </c>
    </row>
    <row r="8" spans="1:24" x14ac:dyDescent="0.3">
      <c r="A8" s="14">
        <v>44489</v>
      </c>
      <c r="B8" s="15" t="s">
        <v>105</v>
      </c>
      <c r="C8" s="16">
        <v>19999</v>
      </c>
      <c r="D8" s="15">
        <v>2006</v>
      </c>
      <c r="E8" s="15" t="s">
        <v>42</v>
      </c>
      <c r="F8" s="15" t="s">
        <v>51</v>
      </c>
      <c r="G8" s="15" t="s">
        <v>103</v>
      </c>
      <c r="H8" s="15" t="s">
        <v>22</v>
      </c>
      <c r="I8" s="17">
        <v>151543</v>
      </c>
      <c r="J8" s="15" t="b">
        <v>1</v>
      </c>
      <c r="K8" s="15" t="s">
        <v>36</v>
      </c>
      <c r="L8" s="15" t="s">
        <v>30</v>
      </c>
      <c r="M8" s="15">
        <v>333</v>
      </c>
      <c r="N8" s="15">
        <v>3.2</v>
      </c>
      <c r="O8" s="15" t="s">
        <v>49</v>
      </c>
      <c r="P8" s="15">
        <v>17</v>
      </c>
      <c r="Q8" s="15" t="s">
        <v>16</v>
      </c>
      <c r="R8" s="15" t="s">
        <v>17</v>
      </c>
      <c r="S8" t="b">
        <v>1</v>
      </c>
      <c r="T8" s="15">
        <v>4</v>
      </c>
      <c r="U8" s="15" t="s">
        <v>17</v>
      </c>
      <c r="V8" s="15" t="s">
        <v>25</v>
      </c>
      <c r="W8">
        <f t="shared" si="0"/>
        <v>15</v>
      </c>
      <c r="X8" t="s">
        <v>334</v>
      </c>
    </row>
    <row r="9" spans="1:24" x14ac:dyDescent="0.3">
      <c r="A9" s="14">
        <v>44489</v>
      </c>
      <c r="B9" s="15" t="s">
        <v>150</v>
      </c>
      <c r="C9" s="16">
        <v>29495</v>
      </c>
      <c r="D9" s="15">
        <v>2005</v>
      </c>
      <c r="E9" s="15" t="s">
        <v>42</v>
      </c>
      <c r="F9" s="15" t="s">
        <v>51</v>
      </c>
      <c r="G9" s="15" t="s">
        <v>103</v>
      </c>
      <c r="H9" s="15" t="s">
        <v>22</v>
      </c>
      <c r="I9" s="17">
        <v>91750</v>
      </c>
      <c r="J9" s="15" t="b">
        <v>1</v>
      </c>
      <c r="K9" s="15" t="s">
        <v>36</v>
      </c>
      <c r="L9" s="15" t="s">
        <v>30</v>
      </c>
      <c r="M9" s="15">
        <v>333</v>
      </c>
      <c r="N9" s="15">
        <v>3.2</v>
      </c>
      <c r="O9" s="15" t="s">
        <v>49</v>
      </c>
      <c r="P9" s="15">
        <v>17</v>
      </c>
      <c r="Q9" s="15" t="s">
        <v>16</v>
      </c>
      <c r="R9" s="15" t="s">
        <v>17</v>
      </c>
      <c r="S9" t="b">
        <v>1</v>
      </c>
      <c r="T9" s="15">
        <v>5</v>
      </c>
      <c r="U9" s="15" t="s">
        <v>17</v>
      </c>
      <c r="V9" s="15" t="s">
        <v>25</v>
      </c>
      <c r="W9">
        <f t="shared" si="0"/>
        <v>16</v>
      </c>
      <c r="X9" t="s">
        <v>334</v>
      </c>
    </row>
    <row r="10" spans="1:24" x14ac:dyDescent="0.3">
      <c r="A10" s="14">
        <v>44489</v>
      </c>
      <c r="B10" s="15" t="s">
        <v>46</v>
      </c>
      <c r="C10" s="16">
        <v>8699</v>
      </c>
      <c r="D10" s="15">
        <v>2003</v>
      </c>
      <c r="E10" s="15" t="s">
        <v>42</v>
      </c>
      <c r="F10" s="15" t="s">
        <v>47</v>
      </c>
      <c r="G10" s="15" t="s">
        <v>48</v>
      </c>
      <c r="H10" s="15" t="s">
        <v>22</v>
      </c>
      <c r="I10" s="17">
        <v>68327</v>
      </c>
      <c r="J10" s="15" t="b">
        <v>0</v>
      </c>
      <c r="K10" s="15" t="s">
        <v>36</v>
      </c>
      <c r="L10" s="15" t="s">
        <v>30</v>
      </c>
      <c r="M10" s="15">
        <v>184</v>
      </c>
      <c r="N10" s="15">
        <v>2.5</v>
      </c>
      <c r="O10" s="15" t="s">
        <v>49</v>
      </c>
      <c r="P10" s="15">
        <v>22</v>
      </c>
      <c r="Q10" s="15" t="s">
        <v>16</v>
      </c>
      <c r="R10" s="15" t="s">
        <v>17</v>
      </c>
      <c r="S10" t="b">
        <v>1</v>
      </c>
      <c r="T10" s="15">
        <v>1</v>
      </c>
      <c r="U10" s="15" t="s">
        <v>17</v>
      </c>
      <c r="V10" s="15" t="s">
        <v>17</v>
      </c>
      <c r="W10">
        <f t="shared" si="0"/>
        <v>18</v>
      </c>
      <c r="X10" t="s">
        <v>334</v>
      </c>
    </row>
    <row r="11" spans="1:24" x14ac:dyDescent="0.3">
      <c r="A11" s="14">
        <v>44489</v>
      </c>
      <c r="B11" s="15" t="s">
        <v>99</v>
      </c>
      <c r="C11" s="16">
        <v>19991</v>
      </c>
      <c r="D11" s="15">
        <v>2013</v>
      </c>
      <c r="E11" s="15" t="s">
        <v>42</v>
      </c>
      <c r="F11" s="15" t="s">
        <v>51</v>
      </c>
      <c r="G11" s="15" t="s">
        <v>100</v>
      </c>
      <c r="H11" s="15" t="s">
        <v>22</v>
      </c>
      <c r="I11" s="17">
        <v>80758</v>
      </c>
      <c r="J11" s="15" t="b">
        <v>0</v>
      </c>
      <c r="K11" s="15" t="s">
        <v>36</v>
      </c>
      <c r="L11" s="15" t="s">
        <v>30</v>
      </c>
      <c r="M11" s="15">
        <v>300</v>
      </c>
      <c r="N11" s="15">
        <v>3</v>
      </c>
      <c r="O11" s="15" t="s">
        <v>49</v>
      </c>
      <c r="P11" s="15">
        <v>22</v>
      </c>
      <c r="Q11" s="15" t="s">
        <v>16</v>
      </c>
      <c r="R11" s="15" t="s">
        <v>17</v>
      </c>
      <c r="S11" t="b">
        <v>0</v>
      </c>
      <c r="T11" s="15">
        <v>1</v>
      </c>
      <c r="U11" s="15" t="s">
        <v>17</v>
      </c>
      <c r="V11" s="15" t="s">
        <v>17</v>
      </c>
      <c r="W11">
        <f t="shared" si="0"/>
        <v>8</v>
      </c>
      <c r="X11" t="s">
        <v>334</v>
      </c>
    </row>
    <row r="12" spans="1:24" x14ac:dyDescent="0.3">
      <c r="A12" s="14">
        <v>44489</v>
      </c>
      <c r="B12" s="15" t="s">
        <v>101</v>
      </c>
      <c r="C12" s="16">
        <v>12499</v>
      </c>
      <c r="D12" s="15">
        <v>2011</v>
      </c>
      <c r="E12" s="15" t="s">
        <v>42</v>
      </c>
      <c r="F12" s="15" t="s">
        <v>51</v>
      </c>
      <c r="G12" s="15" t="s">
        <v>52</v>
      </c>
      <c r="H12" s="15" t="s">
        <v>22</v>
      </c>
      <c r="I12" s="17">
        <v>71300</v>
      </c>
      <c r="J12" s="15" t="b">
        <v>0</v>
      </c>
      <c r="K12" s="15" t="s">
        <v>36</v>
      </c>
      <c r="L12" s="15" t="s">
        <v>30</v>
      </c>
      <c r="M12" s="15">
        <v>230</v>
      </c>
      <c r="N12" s="15">
        <v>3</v>
      </c>
      <c r="O12" s="15" t="s">
        <v>49</v>
      </c>
      <c r="P12" s="15">
        <v>22</v>
      </c>
      <c r="Q12" s="15" t="s">
        <v>16</v>
      </c>
      <c r="R12" s="15" t="s">
        <v>17</v>
      </c>
      <c r="S12" t="b">
        <v>0</v>
      </c>
      <c r="T12" s="15">
        <v>6</v>
      </c>
      <c r="U12" s="15" t="s">
        <v>17</v>
      </c>
      <c r="V12" s="15" t="s">
        <v>17</v>
      </c>
      <c r="W12">
        <f t="shared" si="0"/>
        <v>10</v>
      </c>
      <c r="X12" t="s">
        <v>334</v>
      </c>
    </row>
    <row r="13" spans="1:24" x14ac:dyDescent="0.3">
      <c r="A13" s="14">
        <v>44489</v>
      </c>
      <c r="B13" s="15" t="s">
        <v>104</v>
      </c>
      <c r="C13" s="16">
        <v>11991</v>
      </c>
      <c r="D13" s="15">
        <v>2003</v>
      </c>
      <c r="E13" s="15" t="s">
        <v>42</v>
      </c>
      <c r="F13" s="15" t="s">
        <v>47</v>
      </c>
      <c r="G13" s="15" t="s">
        <v>48</v>
      </c>
      <c r="H13" s="15" t="s">
        <v>22</v>
      </c>
      <c r="I13" s="17">
        <v>40508</v>
      </c>
      <c r="J13" s="15" t="b">
        <v>0</v>
      </c>
      <c r="K13" s="15" t="s">
        <v>36</v>
      </c>
      <c r="L13" s="15" t="s">
        <v>30</v>
      </c>
      <c r="M13" s="15">
        <v>184</v>
      </c>
      <c r="N13" s="15">
        <v>2.5</v>
      </c>
      <c r="O13" s="15" t="s">
        <v>49</v>
      </c>
      <c r="P13" s="15">
        <v>22</v>
      </c>
      <c r="Q13" s="15" t="s">
        <v>16</v>
      </c>
      <c r="R13" s="15" t="s">
        <v>17</v>
      </c>
      <c r="S13" t="b">
        <v>0</v>
      </c>
      <c r="T13" s="15">
        <v>4</v>
      </c>
      <c r="U13" s="15" t="s">
        <v>17</v>
      </c>
      <c r="V13" s="15" t="s">
        <v>17</v>
      </c>
      <c r="W13">
        <f t="shared" si="0"/>
        <v>18</v>
      </c>
      <c r="X13" t="s">
        <v>334</v>
      </c>
    </row>
    <row r="14" spans="1:24" x14ac:dyDescent="0.3">
      <c r="A14" s="14">
        <v>44489</v>
      </c>
      <c r="B14" s="15" t="s">
        <v>121</v>
      </c>
      <c r="C14" s="16">
        <v>17995</v>
      </c>
      <c r="D14" s="15">
        <v>2008</v>
      </c>
      <c r="E14" s="15" t="s">
        <v>42</v>
      </c>
      <c r="F14" s="15" t="s">
        <v>122</v>
      </c>
      <c r="G14" s="15" t="s">
        <v>123</v>
      </c>
      <c r="H14" s="15" t="s">
        <v>22</v>
      </c>
      <c r="I14" s="17">
        <v>69291</v>
      </c>
      <c r="J14" s="15" t="b">
        <v>0</v>
      </c>
      <c r="K14" s="15" t="s">
        <v>36</v>
      </c>
      <c r="L14" s="15" t="s">
        <v>30</v>
      </c>
      <c r="M14" s="15">
        <v>360</v>
      </c>
      <c r="N14" s="15">
        <v>4.8</v>
      </c>
      <c r="O14" s="15" t="s">
        <v>74</v>
      </c>
      <c r="P14" s="15">
        <v>19</v>
      </c>
      <c r="Q14" s="15" t="s">
        <v>16</v>
      </c>
      <c r="R14" s="15" t="s">
        <v>17</v>
      </c>
      <c r="S14" t="b">
        <v>0</v>
      </c>
      <c r="T14" s="15">
        <v>4</v>
      </c>
      <c r="U14" s="15" t="s">
        <v>17</v>
      </c>
      <c r="V14" s="15" t="s">
        <v>25</v>
      </c>
      <c r="W14">
        <f t="shared" si="0"/>
        <v>13</v>
      </c>
      <c r="X14" t="s">
        <v>334</v>
      </c>
    </row>
    <row r="15" spans="1:24" x14ac:dyDescent="0.3">
      <c r="A15" s="14">
        <v>44489</v>
      </c>
      <c r="B15" s="15" t="s">
        <v>137</v>
      </c>
      <c r="C15" s="16">
        <v>24988</v>
      </c>
      <c r="D15" s="15">
        <v>2016</v>
      </c>
      <c r="E15" s="15" t="s">
        <v>42</v>
      </c>
      <c r="F15" s="15" t="s">
        <v>138</v>
      </c>
      <c r="G15" s="15" t="s">
        <v>139</v>
      </c>
      <c r="H15" s="15" t="s">
        <v>22</v>
      </c>
      <c r="I15" s="17">
        <v>66110</v>
      </c>
      <c r="J15" s="15" t="b">
        <v>0</v>
      </c>
      <c r="K15" s="15" t="s">
        <v>36</v>
      </c>
      <c r="L15" s="15" t="s">
        <v>30</v>
      </c>
      <c r="M15" s="15">
        <v>240</v>
      </c>
      <c r="N15" s="15">
        <v>2</v>
      </c>
      <c r="O15" s="15" t="s">
        <v>13</v>
      </c>
      <c r="P15" s="15">
        <v>28</v>
      </c>
      <c r="Q15" s="15" t="s">
        <v>16</v>
      </c>
      <c r="R15" s="15" t="s">
        <v>25</v>
      </c>
      <c r="S15" t="b">
        <v>0</v>
      </c>
      <c r="T15" s="15">
        <v>2</v>
      </c>
      <c r="U15" s="15" t="s">
        <v>17</v>
      </c>
      <c r="V15" s="15" t="s">
        <v>25</v>
      </c>
      <c r="W15">
        <f t="shared" si="0"/>
        <v>5</v>
      </c>
      <c r="X15" t="s">
        <v>334</v>
      </c>
    </row>
    <row r="16" spans="1:24" x14ac:dyDescent="0.3">
      <c r="A16" s="14">
        <v>44489</v>
      </c>
      <c r="B16" s="15" t="s">
        <v>147</v>
      </c>
      <c r="C16" s="16">
        <v>25643</v>
      </c>
      <c r="D16" s="15">
        <v>2013</v>
      </c>
      <c r="E16" s="15" t="s">
        <v>42</v>
      </c>
      <c r="F16" s="15" t="s">
        <v>148</v>
      </c>
      <c r="G16" s="15" t="s">
        <v>149</v>
      </c>
      <c r="H16" s="15" t="s">
        <v>22</v>
      </c>
      <c r="I16" s="17">
        <v>43561</v>
      </c>
      <c r="J16" s="15" t="b">
        <v>0</v>
      </c>
      <c r="K16" s="15" t="s">
        <v>36</v>
      </c>
      <c r="L16" s="15" t="s">
        <v>30</v>
      </c>
      <c r="M16" s="15">
        <v>300</v>
      </c>
      <c r="N16" s="15">
        <v>3</v>
      </c>
      <c r="O16" s="15" t="s">
        <v>49</v>
      </c>
      <c r="P16" s="15">
        <v>21</v>
      </c>
      <c r="Q16" s="15" t="s">
        <v>16</v>
      </c>
      <c r="R16" s="15" t="s">
        <v>17</v>
      </c>
      <c r="S16" t="b">
        <v>0</v>
      </c>
      <c r="T16" s="15">
        <v>3</v>
      </c>
      <c r="U16" s="15" t="s">
        <v>17</v>
      </c>
      <c r="V16" s="15" t="s">
        <v>17</v>
      </c>
      <c r="W16">
        <f t="shared" si="0"/>
        <v>8</v>
      </c>
      <c r="X16" t="s">
        <v>334</v>
      </c>
    </row>
    <row r="17" spans="1:24" x14ac:dyDescent="0.3">
      <c r="A17" s="14">
        <v>44489</v>
      </c>
      <c r="B17" s="15" t="s">
        <v>151</v>
      </c>
      <c r="C17" s="16">
        <v>25591</v>
      </c>
      <c r="D17" s="15">
        <v>2015</v>
      </c>
      <c r="E17" s="15" t="s">
        <v>42</v>
      </c>
      <c r="F17" s="15" t="s">
        <v>138</v>
      </c>
      <c r="G17" s="15" t="s">
        <v>152</v>
      </c>
      <c r="H17" s="15" t="s">
        <v>22</v>
      </c>
      <c r="I17" s="17">
        <v>76131</v>
      </c>
      <c r="J17" s="15" t="b">
        <v>0</v>
      </c>
      <c r="K17" s="15" t="s">
        <v>36</v>
      </c>
      <c r="L17" s="15" t="s">
        <v>30</v>
      </c>
      <c r="M17" s="15">
        <v>300</v>
      </c>
      <c r="N17" s="15">
        <v>3</v>
      </c>
      <c r="O17" s="15" t="s">
        <v>49</v>
      </c>
      <c r="P17" s="15">
        <v>25</v>
      </c>
      <c r="Q17" s="15" t="s">
        <v>16</v>
      </c>
      <c r="R17" s="15" t="s">
        <v>17</v>
      </c>
      <c r="S17" t="b">
        <v>0</v>
      </c>
      <c r="T17" s="15">
        <v>2</v>
      </c>
      <c r="U17" s="15" t="s">
        <v>17</v>
      </c>
      <c r="V17" s="15" t="s">
        <v>17</v>
      </c>
      <c r="W17">
        <f t="shared" si="0"/>
        <v>6</v>
      </c>
      <c r="X17" t="s">
        <v>334</v>
      </c>
    </row>
    <row r="18" spans="1:24" x14ac:dyDescent="0.3">
      <c r="A18" s="14">
        <v>44489</v>
      </c>
      <c r="B18" s="15" t="s">
        <v>118</v>
      </c>
      <c r="C18" s="16">
        <v>18995</v>
      </c>
      <c r="D18" s="15">
        <v>2005</v>
      </c>
      <c r="E18" s="15" t="s">
        <v>119</v>
      </c>
      <c r="F18" s="15" t="s">
        <v>120</v>
      </c>
      <c r="G18" s="15"/>
      <c r="H18" s="15" t="s">
        <v>22</v>
      </c>
      <c r="I18" s="17">
        <v>82533</v>
      </c>
      <c r="J18" s="15" t="b">
        <v>0</v>
      </c>
      <c r="K18" s="15" t="s">
        <v>36</v>
      </c>
      <c r="L18" s="15" t="s">
        <v>30</v>
      </c>
      <c r="M18" s="15">
        <v>320</v>
      </c>
      <c r="N18" s="15">
        <v>4.5999999999999996</v>
      </c>
      <c r="O18" s="15" t="s">
        <v>74</v>
      </c>
      <c r="P18" s="15">
        <v>19</v>
      </c>
      <c r="Q18" s="15" t="s">
        <v>16</v>
      </c>
      <c r="R18" s="15" t="s">
        <v>17</v>
      </c>
      <c r="S18" t="b">
        <v>0</v>
      </c>
      <c r="T18" s="15">
        <v>5</v>
      </c>
      <c r="U18" s="15" t="s">
        <v>17</v>
      </c>
      <c r="V18" s="15" t="s">
        <v>17</v>
      </c>
      <c r="W18">
        <f t="shared" si="0"/>
        <v>16</v>
      </c>
      <c r="X18" t="s">
        <v>335</v>
      </c>
    </row>
    <row r="19" spans="1:24" x14ac:dyDescent="0.3">
      <c r="A19" s="14">
        <v>44489</v>
      </c>
      <c r="B19" s="15" t="s">
        <v>112</v>
      </c>
      <c r="C19" s="16">
        <v>13995</v>
      </c>
      <c r="D19" s="15">
        <v>2002</v>
      </c>
      <c r="E19" s="15" t="s">
        <v>76</v>
      </c>
      <c r="F19" s="15" t="s">
        <v>77</v>
      </c>
      <c r="G19" s="15"/>
      <c r="H19" s="15" t="s">
        <v>22</v>
      </c>
      <c r="I19" s="17">
        <v>99993</v>
      </c>
      <c r="J19" s="15" t="b">
        <v>1</v>
      </c>
      <c r="K19" s="15" t="s">
        <v>36</v>
      </c>
      <c r="L19" s="15" t="s">
        <v>30</v>
      </c>
      <c r="M19" s="15">
        <v>350</v>
      </c>
      <c r="N19" s="15">
        <v>5.7</v>
      </c>
      <c r="O19" s="15" t="s">
        <v>74</v>
      </c>
      <c r="P19" s="15">
        <v>21</v>
      </c>
      <c r="Q19" s="15" t="s">
        <v>16</v>
      </c>
      <c r="R19" s="15" t="s">
        <v>17</v>
      </c>
      <c r="S19" t="b">
        <v>1</v>
      </c>
      <c r="T19" s="15">
        <v>3</v>
      </c>
      <c r="U19" s="15" t="s">
        <v>17</v>
      </c>
      <c r="V19" s="15" t="s">
        <v>17</v>
      </c>
      <c r="W19">
        <f t="shared" si="0"/>
        <v>19</v>
      </c>
      <c r="X19" t="s">
        <v>335</v>
      </c>
    </row>
    <row r="20" spans="1:24" x14ac:dyDescent="0.3">
      <c r="A20" s="14">
        <v>44489</v>
      </c>
      <c r="B20" s="15" t="s">
        <v>160</v>
      </c>
      <c r="C20" s="16">
        <v>20995</v>
      </c>
      <c r="D20" s="15">
        <v>2005</v>
      </c>
      <c r="E20" s="15" t="s">
        <v>76</v>
      </c>
      <c r="F20" s="15" t="s">
        <v>77</v>
      </c>
      <c r="G20" s="15"/>
      <c r="H20" s="15" t="s">
        <v>22</v>
      </c>
      <c r="I20" s="17">
        <v>86973</v>
      </c>
      <c r="J20" s="15" t="b">
        <v>1</v>
      </c>
      <c r="K20" s="15" t="s">
        <v>36</v>
      </c>
      <c r="L20" s="15" t="s">
        <v>30</v>
      </c>
      <c r="M20" s="15">
        <v>400</v>
      </c>
      <c r="N20" s="15">
        <v>6</v>
      </c>
      <c r="O20" s="15" t="s">
        <v>74</v>
      </c>
      <c r="P20" s="15">
        <v>21</v>
      </c>
      <c r="Q20" s="15" t="s">
        <v>16</v>
      </c>
      <c r="R20" s="15" t="s">
        <v>17</v>
      </c>
      <c r="S20" t="b">
        <v>0</v>
      </c>
      <c r="T20" s="15">
        <v>1</v>
      </c>
      <c r="U20" s="15" t="s">
        <v>17</v>
      </c>
      <c r="V20" s="15" t="s">
        <v>17</v>
      </c>
      <c r="W20">
        <f t="shared" si="0"/>
        <v>16</v>
      </c>
      <c r="X20" t="s">
        <v>335</v>
      </c>
    </row>
    <row r="21" spans="1:24" x14ac:dyDescent="0.3">
      <c r="A21" s="14">
        <v>44489</v>
      </c>
      <c r="B21" s="15" t="s">
        <v>75</v>
      </c>
      <c r="C21" s="16">
        <v>9498</v>
      </c>
      <c r="D21" s="15">
        <v>1989</v>
      </c>
      <c r="E21" s="15" t="s">
        <v>76</v>
      </c>
      <c r="F21" s="15" t="s">
        <v>77</v>
      </c>
      <c r="G21" s="15"/>
      <c r="H21" s="15" t="s">
        <v>22</v>
      </c>
      <c r="I21" s="17">
        <v>99200</v>
      </c>
      <c r="J21" s="15" t="b">
        <v>0</v>
      </c>
      <c r="K21" s="15" t="s">
        <v>36</v>
      </c>
      <c r="L21" s="15" t="s">
        <v>30</v>
      </c>
      <c r="M21" s="15">
        <v>254</v>
      </c>
      <c r="N21" s="15">
        <v>5.7</v>
      </c>
      <c r="O21" s="15" t="s">
        <v>74</v>
      </c>
      <c r="P21" s="15">
        <v>19</v>
      </c>
      <c r="Q21" s="15" t="s">
        <v>16</v>
      </c>
      <c r="R21" s="15" t="s">
        <v>17</v>
      </c>
      <c r="S21" t="b">
        <v>0</v>
      </c>
      <c r="T21" s="15">
        <v>7</v>
      </c>
      <c r="U21" s="15" t="s">
        <v>17</v>
      </c>
      <c r="V21" s="15" t="s">
        <v>25</v>
      </c>
      <c r="W21">
        <f t="shared" si="0"/>
        <v>32</v>
      </c>
      <c r="X21" t="s">
        <v>335</v>
      </c>
    </row>
    <row r="22" spans="1:24" ht="15.6" customHeight="1" x14ac:dyDescent="0.3">
      <c r="A22" s="14">
        <v>44489</v>
      </c>
      <c r="B22" s="15" t="s">
        <v>156</v>
      </c>
      <c r="C22" s="16">
        <v>27591</v>
      </c>
      <c r="D22" s="15">
        <v>2018</v>
      </c>
      <c r="E22" s="15" t="s">
        <v>76</v>
      </c>
      <c r="F22" s="15" t="s">
        <v>157</v>
      </c>
      <c r="G22" s="15" t="s">
        <v>158</v>
      </c>
      <c r="H22" s="15" t="s">
        <v>22</v>
      </c>
      <c r="I22" s="17">
        <v>37249</v>
      </c>
      <c r="J22" s="15" t="b">
        <v>0</v>
      </c>
      <c r="K22" s="15" t="s">
        <v>36</v>
      </c>
      <c r="L22" s="15" t="s">
        <v>30</v>
      </c>
      <c r="M22" s="15">
        <v>335</v>
      </c>
      <c r="N22" s="15">
        <v>3.6</v>
      </c>
      <c r="O22" s="15" t="s">
        <v>58</v>
      </c>
      <c r="P22" s="15">
        <v>24</v>
      </c>
      <c r="Q22" s="15" t="s">
        <v>16</v>
      </c>
      <c r="R22" s="15" t="s">
        <v>17</v>
      </c>
      <c r="S22" t="b">
        <v>0</v>
      </c>
      <c r="T22" s="15">
        <v>2</v>
      </c>
      <c r="U22" s="15" t="s">
        <v>17</v>
      </c>
      <c r="V22" s="15" t="s">
        <v>17</v>
      </c>
      <c r="W22">
        <f t="shared" si="0"/>
        <v>3</v>
      </c>
      <c r="X22" t="s">
        <v>335</v>
      </c>
    </row>
    <row r="23" spans="1:24" x14ac:dyDescent="0.3">
      <c r="A23" s="14">
        <v>44489</v>
      </c>
      <c r="B23" s="15" t="s">
        <v>19</v>
      </c>
      <c r="C23" s="16">
        <v>3990</v>
      </c>
      <c r="D23" s="15">
        <v>2007</v>
      </c>
      <c r="E23" s="15" t="s">
        <v>20</v>
      </c>
      <c r="F23" s="15" t="s">
        <v>21</v>
      </c>
      <c r="G23" s="15"/>
      <c r="H23" s="15" t="s">
        <v>22</v>
      </c>
      <c r="I23" s="15">
        <v>126396</v>
      </c>
      <c r="J23" s="15" t="b">
        <v>0</v>
      </c>
      <c r="K23" s="15" t="s">
        <v>8</v>
      </c>
      <c r="L23" s="15" t="s">
        <v>30</v>
      </c>
      <c r="M23" s="15">
        <v>150</v>
      </c>
      <c r="N23" s="15">
        <v>2.4</v>
      </c>
      <c r="O23" s="15" t="s">
        <v>13</v>
      </c>
      <c r="P23" s="15">
        <v>21</v>
      </c>
      <c r="Q23" s="15" t="s">
        <v>16</v>
      </c>
      <c r="R23" s="15" t="s">
        <v>17</v>
      </c>
      <c r="S23" t="b">
        <v>0</v>
      </c>
      <c r="T23" s="15">
        <v>5</v>
      </c>
      <c r="U23" s="15" t="s">
        <v>25</v>
      </c>
      <c r="V23" s="15" t="s">
        <v>17</v>
      </c>
      <c r="W23">
        <f t="shared" si="0"/>
        <v>14</v>
      </c>
      <c r="X23" t="s">
        <v>335</v>
      </c>
    </row>
    <row r="24" spans="1:24" x14ac:dyDescent="0.3">
      <c r="A24" s="14">
        <v>44489</v>
      </c>
      <c r="B24" s="15" t="s">
        <v>71</v>
      </c>
      <c r="C24" s="16">
        <v>7999</v>
      </c>
      <c r="D24" s="15">
        <v>2010</v>
      </c>
      <c r="E24" s="15" t="s">
        <v>20</v>
      </c>
      <c r="F24" s="15" t="s">
        <v>72</v>
      </c>
      <c r="G24" s="15" t="s">
        <v>57</v>
      </c>
      <c r="H24" s="15" t="s">
        <v>22</v>
      </c>
      <c r="I24" s="17">
        <v>92009</v>
      </c>
      <c r="J24" s="15" t="b">
        <v>0</v>
      </c>
      <c r="K24" s="15" t="s">
        <v>8</v>
      </c>
      <c r="L24" s="15" t="s">
        <v>73</v>
      </c>
      <c r="M24" s="15">
        <v>186</v>
      </c>
      <c r="N24" s="15">
        <v>2.7</v>
      </c>
      <c r="O24" s="15" t="s">
        <v>58</v>
      </c>
      <c r="P24" s="15">
        <v>22</v>
      </c>
      <c r="Q24" s="15" t="s">
        <v>16</v>
      </c>
      <c r="R24" s="15" t="s">
        <v>17</v>
      </c>
      <c r="S24" t="b">
        <v>0</v>
      </c>
      <c r="T24" s="15">
        <v>3</v>
      </c>
      <c r="U24" s="15" t="s">
        <v>17</v>
      </c>
      <c r="V24" s="15" t="s">
        <v>17</v>
      </c>
      <c r="W24">
        <f t="shared" si="0"/>
        <v>11</v>
      </c>
      <c r="X24" t="s">
        <v>335</v>
      </c>
    </row>
    <row r="25" spans="1:24" x14ac:dyDescent="0.3">
      <c r="A25" s="14">
        <v>44489</v>
      </c>
      <c r="B25" s="15" t="s">
        <v>111</v>
      </c>
      <c r="C25" s="16">
        <v>11900</v>
      </c>
      <c r="D25" s="15">
        <v>2013</v>
      </c>
      <c r="E25" s="15" t="s">
        <v>20</v>
      </c>
      <c r="F25" s="15">
        <v>200</v>
      </c>
      <c r="G25" s="15" t="s">
        <v>29</v>
      </c>
      <c r="H25" s="15" t="s">
        <v>22</v>
      </c>
      <c r="I25" s="17">
        <v>37343</v>
      </c>
      <c r="J25" s="15" t="b">
        <v>0</v>
      </c>
      <c r="K25" s="15" t="s">
        <v>8</v>
      </c>
      <c r="L25" s="15" t="s">
        <v>73</v>
      </c>
      <c r="M25" s="15">
        <v>283</v>
      </c>
      <c r="N25" s="15">
        <v>3.6</v>
      </c>
      <c r="O25" s="15" t="s">
        <v>58</v>
      </c>
      <c r="P25" s="15">
        <v>24</v>
      </c>
      <c r="Q25" s="15" t="s">
        <v>16</v>
      </c>
      <c r="R25" s="15" t="s">
        <v>17</v>
      </c>
      <c r="S25" t="b">
        <v>0</v>
      </c>
      <c r="T25" s="15">
        <v>3</v>
      </c>
      <c r="U25" s="15" t="s">
        <v>17</v>
      </c>
      <c r="V25" s="15" t="s">
        <v>17</v>
      </c>
      <c r="W25">
        <f t="shared" si="0"/>
        <v>8</v>
      </c>
      <c r="X25" t="s">
        <v>335</v>
      </c>
    </row>
    <row r="26" spans="1:24" x14ac:dyDescent="0.3">
      <c r="A26" s="14">
        <v>44489</v>
      </c>
      <c r="B26" s="15" t="s">
        <v>88</v>
      </c>
      <c r="C26" s="16">
        <v>10995</v>
      </c>
      <c r="D26" s="15">
        <v>2014</v>
      </c>
      <c r="E26" s="15" t="s">
        <v>89</v>
      </c>
      <c r="F26" s="15">
        <v>500</v>
      </c>
      <c r="G26" s="15" t="s">
        <v>90</v>
      </c>
      <c r="H26" s="15" t="s">
        <v>22</v>
      </c>
      <c r="I26" s="17">
        <v>35445</v>
      </c>
      <c r="J26" s="15" t="b">
        <v>1</v>
      </c>
      <c r="K26" s="15" t="s">
        <v>8</v>
      </c>
      <c r="L26" s="15" t="s">
        <v>30</v>
      </c>
      <c r="M26" s="15">
        <v>160</v>
      </c>
      <c r="N26" s="15">
        <v>1.4</v>
      </c>
      <c r="O26" s="15" t="s">
        <v>13</v>
      </c>
      <c r="P26" s="15">
        <v>31</v>
      </c>
      <c r="Q26" s="15" t="s">
        <v>16</v>
      </c>
      <c r="R26" s="15" t="s">
        <v>17</v>
      </c>
      <c r="S26" t="b">
        <v>0</v>
      </c>
      <c r="T26" s="15">
        <v>5</v>
      </c>
      <c r="U26" s="15" t="s">
        <v>17</v>
      </c>
      <c r="V26" s="15" t="s">
        <v>17</v>
      </c>
      <c r="W26">
        <f t="shared" si="0"/>
        <v>7</v>
      </c>
      <c r="X26" t="s">
        <v>336</v>
      </c>
    </row>
    <row r="27" spans="1:24" x14ac:dyDescent="0.3">
      <c r="A27" s="14">
        <v>44489</v>
      </c>
      <c r="B27" s="15" t="s">
        <v>142</v>
      </c>
      <c r="C27" s="16">
        <v>24000</v>
      </c>
      <c r="D27" s="15">
        <v>2017</v>
      </c>
      <c r="E27" s="15" t="s">
        <v>89</v>
      </c>
      <c r="F27" s="15" t="s">
        <v>143</v>
      </c>
      <c r="G27" s="15"/>
      <c r="H27" s="15" t="s">
        <v>22</v>
      </c>
      <c r="I27" s="17">
        <v>25637</v>
      </c>
      <c r="J27" s="15" t="b">
        <v>1</v>
      </c>
      <c r="K27" s="15" t="s">
        <v>36</v>
      </c>
      <c r="L27" s="15" t="s">
        <v>30</v>
      </c>
      <c r="M27" s="15">
        <v>160</v>
      </c>
      <c r="N27" s="15">
        <v>1.4</v>
      </c>
      <c r="O27" s="15" t="s">
        <v>13</v>
      </c>
      <c r="P27" s="15">
        <v>30</v>
      </c>
      <c r="Q27" s="15" t="s">
        <v>16</v>
      </c>
      <c r="R27" s="15" t="s">
        <v>17</v>
      </c>
      <c r="S27" t="b">
        <v>0</v>
      </c>
      <c r="T27" s="15">
        <v>3</v>
      </c>
      <c r="U27" s="15" t="s">
        <v>17</v>
      </c>
      <c r="V27" s="15" t="s">
        <v>17</v>
      </c>
      <c r="W27">
        <f t="shared" si="0"/>
        <v>4</v>
      </c>
      <c r="X27" t="s">
        <v>336</v>
      </c>
    </row>
    <row r="28" spans="1:24" x14ac:dyDescent="0.3">
      <c r="A28" s="14">
        <v>44489</v>
      </c>
      <c r="B28" s="15" t="s">
        <v>62</v>
      </c>
      <c r="C28" s="16">
        <v>9998</v>
      </c>
      <c r="D28" s="15">
        <v>2010</v>
      </c>
      <c r="E28" s="15" t="s">
        <v>63</v>
      </c>
      <c r="F28" s="15" t="s">
        <v>64</v>
      </c>
      <c r="G28" s="15"/>
      <c r="H28" s="15" t="s">
        <v>22</v>
      </c>
      <c r="I28" s="17">
        <v>134690</v>
      </c>
      <c r="J28" s="15" t="b">
        <v>0</v>
      </c>
      <c r="K28" s="15" t="s">
        <v>36</v>
      </c>
      <c r="L28" s="15" t="s">
        <v>30</v>
      </c>
      <c r="M28" s="15">
        <v>210</v>
      </c>
      <c r="N28" s="15">
        <v>4</v>
      </c>
      <c r="O28" s="15" t="s">
        <v>58</v>
      </c>
      <c r="P28" s="15">
        <v>20</v>
      </c>
      <c r="Q28" s="15" t="s">
        <v>16</v>
      </c>
      <c r="R28" s="15" t="s">
        <v>17</v>
      </c>
      <c r="S28" t="b">
        <v>1</v>
      </c>
      <c r="T28" s="15">
        <v>7</v>
      </c>
      <c r="U28" s="15" t="s">
        <v>25</v>
      </c>
      <c r="V28" s="15" t="s">
        <v>17</v>
      </c>
      <c r="W28">
        <f t="shared" si="0"/>
        <v>11</v>
      </c>
      <c r="X28" t="s">
        <v>335</v>
      </c>
    </row>
    <row r="29" spans="1:24" x14ac:dyDescent="0.3">
      <c r="A29" s="14">
        <v>44489</v>
      </c>
      <c r="B29" s="15" t="s">
        <v>115</v>
      </c>
      <c r="C29" s="16">
        <v>14999</v>
      </c>
      <c r="D29" s="15">
        <v>2002</v>
      </c>
      <c r="E29" s="15" t="s">
        <v>63</v>
      </c>
      <c r="F29" s="15" t="s">
        <v>116</v>
      </c>
      <c r="G29" s="15" t="s">
        <v>117</v>
      </c>
      <c r="H29" s="15" t="s">
        <v>22</v>
      </c>
      <c r="I29" s="17">
        <v>61031</v>
      </c>
      <c r="J29" s="15" t="b">
        <v>0</v>
      </c>
      <c r="K29" s="15" t="s">
        <v>36</v>
      </c>
      <c r="L29" s="15" t="s">
        <v>30</v>
      </c>
      <c r="M29" s="15">
        <v>252</v>
      </c>
      <c r="N29" s="15">
        <v>3.9</v>
      </c>
      <c r="O29" s="15" t="s">
        <v>74</v>
      </c>
      <c r="P29" s="15">
        <v>18</v>
      </c>
      <c r="Q29" s="15" t="s">
        <v>16</v>
      </c>
      <c r="R29" s="15" t="s">
        <v>17</v>
      </c>
      <c r="S29" t="b">
        <v>0</v>
      </c>
      <c r="T29" s="15">
        <v>3</v>
      </c>
      <c r="U29" s="15" t="s">
        <v>17</v>
      </c>
      <c r="V29" s="15" t="s">
        <v>17</v>
      </c>
      <c r="W29">
        <f t="shared" si="0"/>
        <v>19</v>
      </c>
      <c r="X29" t="s">
        <v>335</v>
      </c>
    </row>
    <row r="30" spans="1:24" x14ac:dyDescent="0.3">
      <c r="A30" s="14">
        <v>44489</v>
      </c>
      <c r="B30" s="15" t="s">
        <v>59</v>
      </c>
      <c r="C30" s="16">
        <v>8800</v>
      </c>
      <c r="D30" s="15">
        <v>2009</v>
      </c>
      <c r="E30" s="15" t="s">
        <v>60</v>
      </c>
      <c r="F30" s="15" t="s">
        <v>61</v>
      </c>
      <c r="G30" s="15"/>
      <c r="H30" s="15" t="s">
        <v>22</v>
      </c>
      <c r="I30" s="17">
        <v>133112</v>
      </c>
      <c r="J30" s="15" t="b">
        <v>0</v>
      </c>
      <c r="K30" s="15" t="s">
        <v>36</v>
      </c>
      <c r="L30" s="15" t="s">
        <v>30</v>
      </c>
      <c r="M30" s="15">
        <v>325</v>
      </c>
      <c r="N30" s="15">
        <v>3.7</v>
      </c>
      <c r="O30" s="15" t="s">
        <v>58</v>
      </c>
      <c r="P30" s="15">
        <v>21</v>
      </c>
      <c r="Q30" s="15" t="s">
        <v>16</v>
      </c>
      <c r="R30" s="15" t="s">
        <v>17</v>
      </c>
      <c r="S30" t="b">
        <v>1</v>
      </c>
      <c r="T30" s="15">
        <v>3</v>
      </c>
      <c r="U30" s="15" t="s">
        <v>17</v>
      </c>
      <c r="V30" s="15" t="s">
        <v>17</v>
      </c>
      <c r="W30">
        <f t="shared" si="0"/>
        <v>12</v>
      </c>
      <c r="X30" t="s">
        <v>333</v>
      </c>
    </row>
    <row r="31" spans="1:24" x14ac:dyDescent="0.3">
      <c r="A31" s="14">
        <v>44489</v>
      </c>
      <c r="B31" s="15" t="s">
        <v>159</v>
      </c>
      <c r="C31" s="16">
        <v>21951</v>
      </c>
      <c r="D31" s="15">
        <v>2013</v>
      </c>
      <c r="E31" s="15" t="s">
        <v>60</v>
      </c>
      <c r="F31" s="15" t="s">
        <v>61</v>
      </c>
      <c r="G31" s="15"/>
      <c r="H31" s="15" t="s">
        <v>22</v>
      </c>
      <c r="I31" s="17">
        <v>46326</v>
      </c>
      <c r="J31" s="15" t="b">
        <v>0</v>
      </c>
      <c r="K31" s="15" t="s">
        <v>36</v>
      </c>
      <c r="L31" s="15" t="s">
        <v>30</v>
      </c>
      <c r="M31" s="15">
        <v>325</v>
      </c>
      <c r="N31" s="15">
        <v>3.7</v>
      </c>
      <c r="O31" s="15" t="s">
        <v>58</v>
      </c>
      <c r="P31" s="15">
        <v>21</v>
      </c>
      <c r="Q31" s="15" t="s">
        <v>16</v>
      </c>
      <c r="R31" s="15" t="s">
        <v>17</v>
      </c>
      <c r="S31" t="b">
        <v>0</v>
      </c>
      <c r="T31" s="15">
        <v>2</v>
      </c>
      <c r="U31" s="15" t="s">
        <v>17</v>
      </c>
      <c r="V31" s="15" t="s">
        <v>17</v>
      </c>
      <c r="W31">
        <f t="shared" si="0"/>
        <v>8</v>
      </c>
      <c r="X31" t="s">
        <v>333</v>
      </c>
    </row>
    <row r="32" spans="1:24" x14ac:dyDescent="0.3">
      <c r="A32" s="14">
        <v>44489</v>
      </c>
      <c r="B32" s="15" t="s">
        <v>127</v>
      </c>
      <c r="C32" s="16">
        <v>11595</v>
      </c>
      <c r="D32" s="15">
        <v>2000</v>
      </c>
      <c r="E32" s="15" t="s">
        <v>128</v>
      </c>
      <c r="F32" s="15" t="s">
        <v>129</v>
      </c>
      <c r="G32" s="15" t="s">
        <v>130</v>
      </c>
      <c r="H32" s="15" t="s">
        <v>22</v>
      </c>
      <c r="I32" s="17">
        <v>84168</v>
      </c>
      <c r="J32" s="15" t="b">
        <v>0</v>
      </c>
      <c r="K32" s="15" t="s">
        <v>36</v>
      </c>
      <c r="L32" s="15" t="s">
        <v>30</v>
      </c>
      <c r="M32" s="15">
        <v>290</v>
      </c>
      <c r="N32" s="15">
        <v>4</v>
      </c>
      <c r="O32" s="15" t="s">
        <v>74</v>
      </c>
      <c r="P32" s="15">
        <v>18</v>
      </c>
      <c r="Q32" s="15" t="s">
        <v>16</v>
      </c>
      <c r="R32" s="15" t="s">
        <v>17</v>
      </c>
      <c r="S32" t="b">
        <v>1</v>
      </c>
      <c r="T32" s="15">
        <v>6</v>
      </c>
      <c r="U32" s="15" t="s">
        <v>17</v>
      </c>
      <c r="V32" s="15" t="s">
        <v>17</v>
      </c>
      <c r="W32">
        <f t="shared" si="0"/>
        <v>21</v>
      </c>
      <c r="X32" t="s">
        <v>337</v>
      </c>
    </row>
    <row r="33" spans="1:24" x14ac:dyDescent="0.3">
      <c r="A33" s="14">
        <v>44489</v>
      </c>
      <c r="B33" s="15" t="s">
        <v>161</v>
      </c>
      <c r="C33" s="16">
        <v>22998</v>
      </c>
      <c r="D33" s="15">
        <v>2007</v>
      </c>
      <c r="E33" s="15" t="s">
        <v>128</v>
      </c>
      <c r="F33" s="15" t="s">
        <v>129</v>
      </c>
      <c r="G33" s="15" t="s">
        <v>162</v>
      </c>
      <c r="H33" s="15" t="s">
        <v>22</v>
      </c>
      <c r="I33" s="17">
        <v>43102</v>
      </c>
      <c r="J33" s="15" t="b">
        <v>0</v>
      </c>
      <c r="K33" s="15" t="s">
        <v>36</v>
      </c>
      <c r="L33" s="15" t="s">
        <v>30</v>
      </c>
      <c r="M33" s="15">
        <v>300</v>
      </c>
      <c r="N33" s="15">
        <v>4.2</v>
      </c>
      <c r="O33" s="15" t="s">
        <v>74</v>
      </c>
      <c r="P33" s="15">
        <v>20</v>
      </c>
      <c r="Q33" s="15" t="s">
        <v>16</v>
      </c>
      <c r="R33" s="15" t="s">
        <v>17</v>
      </c>
      <c r="S33" t="b">
        <v>0</v>
      </c>
      <c r="T33" s="15">
        <v>2</v>
      </c>
      <c r="U33" s="15" t="s">
        <v>17</v>
      </c>
      <c r="V33" s="15" t="s">
        <v>17</v>
      </c>
      <c r="W33">
        <f t="shared" si="0"/>
        <v>14</v>
      </c>
      <c r="X33" t="s">
        <v>337</v>
      </c>
    </row>
    <row r="34" spans="1:24" x14ac:dyDescent="0.3">
      <c r="A34" s="14">
        <v>44489</v>
      </c>
      <c r="B34" s="15" t="s">
        <v>106</v>
      </c>
      <c r="C34" s="16">
        <v>14000</v>
      </c>
      <c r="D34" s="15">
        <v>2010</v>
      </c>
      <c r="E34" s="15" t="s">
        <v>107</v>
      </c>
      <c r="F34" s="15" t="s">
        <v>108</v>
      </c>
      <c r="G34" s="15"/>
      <c r="H34" s="15" t="s">
        <v>22</v>
      </c>
      <c r="I34" s="17">
        <v>74000</v>
      </c>
      <c r="J34" s="15" t="b">
        <v>0</v>
      </c>
      <c r="K34" s="15" t="s">
        <v>36</v>
      </c>
      <c r="L34" s="15" t="s">
        <v>30</v>
      </c>
      <c r="M34" s="15">
        <v>204</v>
      </c>
      <c r="N34" s="15">
        <v>2.5</v>
      </c>
      <c r="O34" s="15" t="s">
        <v>58</v>
      </c>
      <c r="P34" s="15">
        <v>25</v>
      </c>
      <c r="Q34" s="15" t="s">
        <v>16</v>
      </c>
      <c r="R34" s="15" t="s">
        <v>17</v>
      </c>
      <c r="S34" t="b">
        <v>1</v>
      </c>
      <c r="T34" s="15">
        <v>3</v>
      </c>
      <c r="U34" s="15" t="s">
        <v>17</v>
      </c>
      <c r="V34" s="15" t="s">
        <v>25</v>
      </c>
      <c r="W34">
        <f t="shared" ref="W34:W65" si="1">2021-D34</f>
        <v>11</v>
      </c>
      <c r="X34" t="s">
        <v>333</v>
      </c>
    </row>
    <row r="35" spans="1:24" x14ac:dyDescent="0.3">
      <c r="A35" s="14">
        <v>44489</v>
      </c>
      <c r="B35" s="15" t="s">
        <v>113</v>
      </c>
      <c r="C35" s="16">
        <v>11995</v>
      </c>
      <c r="D35" s="15">
        <v>2004</v>
      </c>
      <c r="E35" s="15" t="s">
        <v>107</v>
      </c>
      <c r="F35" s="15" t="s">
        <v>114</v>
      </c>
      <c r="G35" s="15"/>
      <c r="H35" s="15" t="s">
        <v>22</v>
      </c>
      <c r="I35" s="17">
        <v>134426</v>
      </c>
      <c r="J35" s="15" t="b">
        <v>0</v>
      </c>
      <c r="K35" s="15" t="s">
        <v>36</v>
      </c>
      <c r="L35" s="15" t="s">
        <v>30</v>
      </c>
      <c r="M35" s="15">
        <v>300</v>
      </c>
      <c r="N35" s="15">
        <v>4.3</v>
      </c>
      <c r="O35" s="15" t="s">
        <v>74</v>
      </c>
      <c r="P35" s="15">
        <v>19</v>
      </c>
      <c r="Q35" s="15" t="s">
        <v>16</v>
      </c>
      <c r="R35" s="15" t="s">
        <v>17</v>
      </c>
      <c r="S35" t="b">
        <v>1</v>
      </c>
      <c r="T35" s="15">
        <v>3</v>
      </c>
      <c r="U35" s="15" t="s">
        <v>17</v>
      </c>
      <c r="V35" s="15" t="s">
        <v>17</v>
      </c>
      <c r="W35">
        <f t="shared" si="1"/>
        <v>17</v>
      </c>
      <c r="X35" t="s">
        <v>333</v>
      </c>
    </row>
    <row r="36" spans="1:24" x14ac:dyDescent="0.3">
      <c r="A36" s="14">
        <v>44489</v>
      </c>
      <c r="B36" s="15" t="s">
        <v>91</v>
      </c>
      <c r="C36" s="16">
        <v>10995</v>
      </c>
      <c r="D36" s="15">
        <v>2006</v>
      </c>
      <c r="E36" s="15" t="s">
        <v>92</v>
      </c>
      <c r="F36" s="15" t="s">
        <v>93</v>
      </c>
      <c r="G36" s="15" t="s">
        <v>57</v>
      </c>
      <c r="H36" s="15" t="s">
        <v>22</v>
      </c>
      <c r="I36" s="17">
        <v>66821</v>
      </c>
      <c r="J36" s="15" t="b">
        <v>0</v>
      </c>
      <c r="K36" s="15" t="s">
        <v>36</v>
      </c>
      <c r="L36" s="15" t="s">
        <v>30</v>
      </c>
      <c r="M36" s="15">
        <v>170</v>
      </c>
      <c r="N36" s="15">
        <v>2</v>
      </c>
      <c r="O36" s="15" t="s">
        <v>13</v>
      </c>
      <c r="P36" s="15">
        <v>24</v>
      </c>
      <c r="Q36" s="15" t="s">
        <v>16</v>
      </c>
      <c r="R36" s="15" t="s">
        <v>17</v>
      </c>
      <c r="S36" t="b">
        <v>0</v>
      </c>
      <c r="T36" s="15">
        <v>2</v>
      </c>
      <c r="U36" s="15" t="s">
        <v>17</v>
      </c>
      <c r="V36" s="15" t="s">
        <v>17</v>
      </c>
      <c r="W36">
        <f t="shared" si="1"/>
        <v>15</v>
      </c>
      <c r="X36" t="s">
        <v>333</v>
      </c>
    </row>
    <row r="37" spans="1:24" x14ac:dyDescent="0.3">
      <c r="A37" s="14">
        <v>44489</v>
      </c>
      <c r="B37" s="15" t="s">
        <v>140</v>
      </c>
      <c r="C37" s="16">
        <v>24300</v>
      </c>
      <c r="D37" s="15">
        <v>2018</v>
      </c>
      <c r="E37" s="15" t="s">
        <v>92</v>
      </c>
      <c r="F37" s="15" t="s">
        <v>93</v>
      </c>
      <c r="G37" s="15" t="s">
        <v>141</v>
      </c>
      <c r="H37" s="15" t="s">
        <v>22</v>
      </c>
      <c r="I37" s="17">
        <v>29211</v>
      </c>
      <c r="J37" s="15" t="b">
        <v>0</v>
      </c>
      <c r="K37" s="15" t="s">
        <v>36</v>
      </c>
      <c r="L37" s="15" t="s">
        <v>30</v>
      </c>
      <c r="M37" s="15">
        <v>155</v>
      </c>
      <c r="N37" s="15">
        <v>2</v>
      </c>
      <c r="O37" s="15" t="s">
        <v>13</v>
      </c>
      <c r="P37" s="15">
        <v>30</v>
      </c>
      <c r="Q37" s="15" t="s">
        <v>16</v>
      </c>
      <c r="R37" s="15" t="s">
        <v>17</v>
      </c>
      <c r="S37" t="b">
        <v>0</v>
      </c>
      <c r="T37" s="15">
        <v>1</v>
      </c>
      <c r="U37" s="15" t="s">
        <v>17</v>
      </c>
      <c r="V37" s="15" t="s">
        <v>17</v>
      </c>
      <c r="W37">
        <f t="shared" si="1"/>
        <v>3</v>
      </c>
      <c r="X37" t="s">
        <v>333</v>
      </c>
    </row>
    <row r="38" spans="1:24" x14ac:dyDescent="0.3">
      <c r="A38" s="14">
        <v>44489</v>
      </c>
      <c r="B38" s="15" t="s">
        <v>65</v>
      </c>
      <c r="C38" s="16">
        <v>8990</v>
      </c>
      <c r="D38" s="15">
        <v>2008</v>
      </c>
      <c r="E38" s="15" t="s">
        <v>44</v>
      </c>
      <c r="F38" s="15" t="s">
        <v>66</v>
      </c>
      <c r="G38" s="15"/>
      <c r="H38" s="15" t="s">
        <v>22</v>
      </c>
      <c r="I38" s="17">
        <v>100074</v>
      </c>
      <c r="J38" s="15" t="b">
        <v>0</v>
      </c>
      <c r="K38" s="15" t="s">
        <v>36</v>
      </c>
      <c r="L38" s="15" t="s">
        <v>30</v>
      </c>
      <c r="M38" s="15">
        <v>268</v>
      </c>
      <c r="N38" s="15">
        <v>3.5</v>
      </c>
      <c r="O38" s="15" t="s">
        <v>58</v>
      </c>
      <c r="P38" s="15">
        <v>21</v>
      </c>
      <c r="Q38" s="15" t="s">
        <v>16</v>
      </c>
      <c r="R38" s="15" t="s">
        <v>17</v>
      </c>
      <c r="S38" t="b">
        <v>1</v>
      </c>
      <c r="T38" s="15">
        <v>5</v>
      </c>
      <c r="U38" s="15" t="s">
        <v>17</v>
      </c>
      <c r="V38" s="15" t="s">
        <v>25</v>
      </c>
      <c r="W38">
        <f t="shared" si="1"/>
        <v>13</v>
      </c>
      <c r="X38" t="s">
        <v>334</v>
      </c>
    </row>
    <row r="39" spans="1:24" x14ac:dyDescent="0.3">
      <c r="A39" s="14">
        <v>44489</v>
      </c>
      <c r="B39" s="15" t="s">
        <v>78</v>
      </c>
      <c r="C39" s="16">
        <v>9900</v>
      </c>
      <c r="D39" s="15">
        <v>2006</v>
      </c>
      <c r="E39" s="15" t="s">
        <v>44</v>
      </c>
      <c r="F39" s="15" t="s">
        <v>79</v>
      </c>
      <c r="G39" s="15"/>
      <c r="H39" s="15" t="s">
        <v>22</v>
      </c>
      <c r="I39" s="17">
        <v>118371</v>
      </c>
      <c r="J39" s="15" t="b">
        <v>0</v>
      </c>
      <c r="K39" s="15" t="s">
        <v>36</v>
      </c>
      <c r="L39" s="15" t="s">
        <v>30</v>
      </c>
      <c r="M39" s="15">
        <v>302</v>
      </c>
      <c r="N39" s="15">
        <v>5</v>
      </c>
      <c r="O39" s="15" t="s">
        <v>74</v>
      </c>
      <c r="P39" s="15">
        <v>18</v>
      </c>
      <c r="Q39" s="15" t="s">
        <v>16</v>
      </c>
      <c r="R39" s="15" t="s">
        <v>17</v>
      </c>
      <c r="S39" t="b">
        <v>1</v>
      </c>
      <c r="T39" s="15">
        <v>5</v>
      </c>
      <c r="U39" s="15" t="s">
        <v>17</v>
      </c>
      <c r="V39" s="15" t="s">
        <v>17</v>
      </c>
      <c r="W39">
        <f t="shared" si="1"/>
        <v>15</v>
      </c>
      <c r="X39" t="s">
        <v>334</v>
      </c>
    </row>
    <row r="40" spans="1:24" x14ac:dyDescent="0.3">
      <c r="A40" s="14">
        <v>44489</v>
      </c>
      <c r="B40" s="15" t="s">
        <v>81</v>
      </c>
      <c r="C40" s="16">
        <v>7000</v>
      </c>
      <c r="D40" s="15">
        <v>1996</v>
      </c>
      <c r="E40" s="15" t="s">
        <v>44</v>
      </c>
      <c r="F40" s="15" t="s">
        <v>79</v>
      </c>
      <c r="G40" s="15"/>
      <c r="H40" s="15" t="s">
        <v>22</v>
      </c>
      <c r="I40" s="17">
        <v>113585</v>
      </c>
      <c r="J40" s="15" t="b">
        <v>0</v>
      </c>
      <c r="K40" s="15" t="s">
        <v>36</v>
      </c>
      <c r="L40" s="15" t="s">
        <v>30</v>
      </c>
      <c r="M40" s="15">
        <v>315</v>
      </c>
      <c r="N40" s="15">
        <v>5</v>
      </c>
      <c r="O40" s="15" t="s">
        <v>74</v>
      </c>
      <c r="P40" s="15">
        <v>18</v>
      </c>
      <c r="Q40" s="15" t="s">
        <v>16</v>
      </c>
      <c r="R40" s="15" t="s">
        <v>17</v>
      </c>
      <c r="S40" t="b">
        <v>1</v>
      </c>
      <c r="T40" s="15">
        <v>4</v>
      </c>
      <c r="U40" s="15" t="s">
        <v>17</v>
      </c>
      <c r="V40" s="15" t="s">
        <v>17</v>
      </c>
      <c r="W40">
        <f t="shared" si="1"/>
        <v>25</v>
      </c>
      <c r="X40" t="s">
        <v>334</v>
      </c>
    </row>
    <row r="41" spans="1:24" x14ac:dyDescent="0.3">
      <c r="A41" s="14">
        <v>44489</v>
      </c>
      <c r="B41" s="15" t="s">
        <v>124</v>
      </c>
      <c r="C41" s="16">
        <v>17995</v>
      </c>
      <c r="D41" s="15">
        <v>2008</v>
      </c>
      <c r="E41" s="15" t="s">
        <v>44</v>
      </c>
      <c r="F41" s="15" t="s">
        <v>126</v>
      </c>
      <c r="G41" s="15" t="s">
        <v>125</v>
      </c>
      <c r="H41" s="15" t="s">
        <v>22</v>
      </c>
      <c r="I41" s="17">
        <v>99845</v>
      </c>
      <c r="J41" s="15" t="b">
        <v>0</v>
      </c>
      <c r="K41" s="15" t="s">
        <v>36</v>
      </c>
      <c r="L41" s="15" t="s">
        <v>30</v>
      </c>
      <c r="M41" s="15">
        <v>382</v>
      </c>
      <c r="N41" s="15">
        <v>5.5</v>
      </c>
      <c r="O41" s="15" t="s">
        <v>74</v>
      </c>
      <c r="P41" s="15">
        <v>17</v>
      </c>
      <c r="Q41" s="15" t="s">
        <v>16</v>
      </c>
      <c r="R41" s="15" t="s">
        <v>17</v>
      </c>
      <c r="S41" t="b">
        <v>0</v>
      </c>
      <c r="T41" s="15">
        <v>4</v>
      </c>
      <c r="U41" s="15" t="s">
        <v>17</v>
      </c>
      <c r="V41" s="15" t="s">
        <v>25</v>
      </c>
      <c r="W41">
        <f t="shared" si="1"/>
        <v>13</v>
      </c>
      <c r="X41" t="s">
        <v>334</v>
      </c>
    </row>
    <row r="42" spans="1:24" x14ac:dyDescent="0.3">
      <c r="A42" s="14">
        <v>44489</v>
      </c>
      <c r="B42" s="15" t="s">
        <v>145</v>
      </c>
      <c r="C42" s="16">
        <v>24998</v>
      </c>
      <c r="D42" s="15">
        <v>1994</v>
      </c>
      <c r="E42" s="15" t="s">
        <v>44</v>
      </c>
      <c r="F42" s="15" t="s">
        <v>126</v>
      </c>
      <c r="G42" s="15" t="s">
        <v>146</v>
      </c>
      <c r="H42" s="15" t="s">
        <v>22</v>
      </c>
      <c r="I42" s="17">
        <v>43989</v>
      </c>
      <c r="J42" s="15" t="b">
        <v>0</v>
      </c>
      <c r="K42" s="15" t="s">
        <v>36</v>
      </c>
      <c r="L42" s="15" t="s">
        <v>30</v>
      </c>
      <c r="M42" s="15">
        <v>229</v>
      </c>
      <c r="N42" s="15">
        <v>3.2</v>
      </c>
      <c r="O42" s="15" t="s">
        <v>49</v>
      </c>
      <c r="P42" s="15">
        <v>18</v>
      </c>
      <c r="Q42" s="15" t="s">
        <v>16</v>
      </c>
      <c r="R42" s="15" t="s">
        <v>17</v>
      </c>
      <c r="S42" t="b">
        <v>0</v>
      </c>
      <c r="T42" s="15">
        <v>2</v>
      </c>
      <c r="U42" s="15" t="s">
        <v>17</v>
      </c>
      <c r="V42" s="15" t="s">
        <v>17</v>
      </c>
      <c r="W42">
        <f t="shared" si="1"/>
        <v>27</v>
      </c>
      <c r="X42" t="s">
        <v>334</v>
      </c>
    </row>
    <row r="43" spans="1:24" x14ac:dyDescent="0.3">
      <c r="A43" s="14">
        <v>44489</v>
      </c>
      <c r="B43" s="15" t="s">
        <v>153</v>
      </c>
      <c r="C43" s="16">
        <v>25995</v>
      </c>
      <c r="D43" s="15">
        <v>2014</v>
      </c>
      <c r="E43" s="15" t="s">
        <v>44</v>
      </c>
      <c r="F43" s="15" t="s">
        <v>154</v>
      </c>
      <c r="G43" s="15" t="s">
        <v>155</v>
      </c>
      <c r="H43" s="15" t="s">
        <v>22</v>
      </c>
      <c r="I43" s="17">
        <v>61796</v>
      </c>
      <c r="J43" s="15" t="b">
        <v>0</v>
      </c>
      <c r="K43" s="15" t="s">
        <v>36</v>
      </c>
      <c r="L43" s="15" t="s">
        <v>30</v>
      </c>
      <c r="M43" s="15">
        <v>302</v>
      </c>
      <c r="N43" s="15">
        <v>3.5</v>
      </c>
      <c r="O43" s="15" t="s">
        <v>58</v>
      </c>
      <c r="P43" s="15">
        <v>23</v>
      </c>
      <c r="Q43" s="15" t="s">
        <v>16</v>
      </c>
      <c r="R43" s="15" t="s">
        <v>17</v>
      </c>
      <c r="S43" t="b">
        <v>0</v>
      </c>
      <c r="T43" s="15">
        <v>2</v>
      </c>
      <c r="U43" s="15" t="s">
        <v>17</v>
      </c>
      <c r="V43" s="15" t="s">
        <v>17</v>
      </c>
      <c r="W43">
        <f t="shared" si="1"/>
        <v>7</v>
      </c>
      <c r="X43" t="s">
        <v>334</v>
      </c>
    </row>
    <row r="44" spans="1:24" x14ac:dyDescent="0.3">
      <c r="A44" s="14">
        <v>44489</v>
      </c>
      <c r="B44" s="15" t="s">
        <v>26</v>
      </c>
      <c r="C44" s="16">
        <v>8995</v>
      </c>
      <c r="D44" s="15">
        <v>2010</v>
      </c>
      <c r="E44" s="15" t="s">
        <v>27</v>
      </c>
      <c r="F44" s="15" t="s">
        <v>28</v>
      </c>
      <c r="G44" s="15" t="s">
        <v>29</v>
      </c>
      <c r="H44" s="15" t="s">
        <v>22</v>
      </c>
      <c r="I44" s="17">
        <v>72000</v>
      </c>
      <c r="J44" s="15" t="b">
        <v>0</v>
      </c>
      <c r="K44" s="15" t="s">
        <v>8</v>
      </c>
      <c r="L44" s="15" t="s">
        <v>30</v>
      </c>
      <c r="M44" s="15">
        <v>172</v>
      </c>
      <c r="N44" s="15">
        <v>1.6</v>
      </c>
      <c r="O44" s="15" t="s">
        <v>13</v>
      </c>
      <c r="P44" s="15">
        <v>28</v>
      </c>
      <c r="Q44" s="15" t="s">
        <v>16</v>
      </c>
      <c r="R44" s="15" t="s">
        <v>17</v>
      </c>
      <c r="S44" t="b">
        <v>0</v>
      </c>
      <c r="T44" s="15">
        <v>3</v>
      </c>
      <c r="U44" s="15" t="s">
        <v>17</v>
      </c>
      <c r="V44" s="15" t="s">
        <v>25</v>
      </c>
      <c r="W44">
        <f t="shared" si="1"/>
        <v>11</v>
      </c>
      <c r="X44" t="s">
        <v>337</v>
      </c>
    </row>
    <row r="45" spans="1:24" x14ac:dyDescent="0.3">
      <c r="A45" s="14">
        <v>44489</v>
      </c>
      <c r="B45" s="15" t="s">
        <v>55</v>
      </c>
      <c r="C45" s="16">
        <v>8995</v>
      </c>
      <c r="D45" s="15">
        <v>2008</v>
      </c>
      <c r="E45" s="15" t="s">
        <v>5</v>
      </c>
      <c r="F45" s="15" t="s">
        <v>56</v>
      </c>
      <c r="G45" s="15" t="s">
        <v>57</v>
      </c>
      <c r="H45" s="15" t="s">
        <v>22</v>
      </c>
      <c r="I45" s="17">
        <v>98984</v>
      </c>
      <c r="J45" s="15" t="b">
        <v>0</v>
      </c>
      <c r="K45" s="15" t="s">
        <v>36</v>
      </c>
      <c r="L45" s="15" t="s">
        <v>30</v>
      </c>
      <c r="M45" s="15">
        <v>306</v>
      </c>
      <c r="N45" s="15">
        <v>3.5</v>
      </c>
      <c r="O45" s="15" t="s">
        <v>58</v>
      </c>
      <c r="P45" s="15">
        <v>20</v>
      </c>
      <c r="Q45" s="15" t="s">
        <v>16</v>
      </c>
      <c r="R45" s="15" t="s">
        <v>17</v>
      </c>
      <c r="S45" t="b">
        <v>1</v>
      </c>
      <c r="T45" s="15">
        <v>3</v>
      </c>
      <c r="U45" s="15" t="s">
        <v>25</v>
      </c>
      <c r="V45" s="15" t="s">
        <v>17</v>
      </c>
      <c r="W45">
        <f t="shared" si="1"/>
        <v>13</v>
      </c>
      <c r="X45" t="s">
        <v>333</v>
      </c>
    </row>
    <row r="46" spans="1:24" x14ac:dyDescent="0.3">
      <c r="A46" s="14">
        <v>44489</v>
      </c>
      <c r="B46" s="15" t="s">
        <v>109</v>
      </c>
      <c r="C46" s="16">
        <v>15395</v>
      </c>
      <c r="D46" s="15">
        <v>2012</v>
      </c>
      <c r="E46" s="15" t="s">
        <v>5</v>
      </c>
      <c r="F46" s="15" t="s">
        <v>110</v>
      </c>
      <c r="G46" s="15"/>
      <c r="H46" s="15" t="s">
        <v>22</v>
      </c>
      <c r="I46" s="17">
        <v>101100</v>
      </c>
      <c r="J46" s="15" t="b">
        <v>0</v>
      </c>
      <c r="K46" s="15" t="s">
        <v>36</v>
      </c>
      <c r="L46" s="15" t="s">
        <v>30</v>
      </c>
      <c r="M46" s="15">
        <v>332</v>
      </c>
      <c r="N46" s="15">
        <v>3.7</v>
      </c>
      <c r="O46" s="15" t="s">
        <v>58</v>
      </c>
      <c r="P46" s="15">
        <v>21</v>
      </c>
      <c r="Q46" s="15" t="s">
        <v>16</v>
      </c>
      <c r="R46" s="15" t="s">
        <v>17</v>
      </c>
      <c r="S46" t="b">
        <v>0</v>
      </c>
      <c r="T46" s="15">
        <v>3</v>
      </c>
      <c r="U46" s="15" t="s">
        <v>17</v>
      </c>
      <c r="V46" s="15" t="s">
        <v>17</v>
      </c>
      <c r="W46">
        <f t="shared" si="1"/>
        <v>9</v>
      </c>
      <c r="X46" t="s">
        <v>333</v>
      </c>
    </row>
    <row r="47" spans="1:24" x14ac:dyDescent="0.3">
      <c r="A47" s="14">
        <v>44489</v>
      </c>
      <c r="B47" s="15" t="s">
        <v>163</v>
      </c>
      <c r="C47" s="16">
        <v>29900</v>
      </c>
      <c r="D47" s="15">
        <v>2002</v>
      </c>
      <c r="E47" s="15" t="s">
        <v>164</v>
      </c>
      <c r="F47" s="15" t="s">
        <v>165</v>
      </c>
      <c r="G47" s="15"/>
      <c r="H47" s="15" t="s">
        <v>22</v>
      </c>
      <c r="I47" s="17">
        <v>31384</v>
      </c>
      <c r="J47" s="15" t="b">
        <v>1</v>
      </c>
      <c r="K47" s="15" t="s">
        <v>36</v>
      </c>
      <c r="L47" s="15" t="s">
        <v>30</v>
      </c>
      <c r="M47" s="15">
        <v>325</v>
      </c>
      <c r="N47" s="15">
        <v>5.7</v>
      </c>
      <c r="O47" s="15" t="s">
        <v>74</v>
      </c>
      <c r="P47" s="15">
        <v>21</v>
      </c>
      <c r="Q47" s="15" t="s">
        <v>16</v>
      </c>
      <c r="R47" s="15" t="s">
        <v>17</v>
      </c>
      <c r="S47" t="b">
        <v>0</v>
      </c>
      <c r="T47" s="15">
        <v>5</v>
      </c>
      <c r="U47" s="15" t="s">
        <v>17</v>
      </c>
      <c r="V47" s="15" t="s">
        <v>17</v>
      </c>
      <c r="W47">
        <f t="shared" si="1"/>
        <v>19</v>
      </c>
      <c r="X47" t="s">
        <v>335</v>
      </c>
    </row>
    <row r="48" spans="1:24" x14ac:dyDescent="0.3">
      <c r="A48" s="14">
        <v>44489</v>
      </c>
      <c r="B48" s="15" t="s">
        <v>86</v>
      </c>
      <c r="C48" s="16">
        <v>19999</v>
      </c>
      <c r="D48" s="15">
        <v>2001</v>
      </c>
      <c r="E48" s="15" t="s">
        <v>82</v>
      </c>
      <c r="F48" s="15" t="s">
        <v>83</v>
      </c>
      <c r="G48" s="15" t="s">
        <v>29</v>
      </c>
      <c r="H48" s="15" t="s">
        <v>22</v>
      </c>
      <c r="I48" s="17">
        <v>59353</v>
      </c>
      <c r="J48" s="15" t="b">
        <v>1</v>
      </c>
      <c r="K48" s="15" t="s">
        <v>36</v>
      </c>
      <c r="L48" s="15" t="s">
        <v>30</v>
      </c>
      <c r="M48" s="15">
        <v>250</v>
      </c>
      <c r="N48" s="15">
        <v>3.2</v>
      </c>
      <c r="O48" s="15" t="s">
        <v>84</v>
      </c>
      <c r="P48" s="15">
        <v>19</v>
      </c>
      <c r="Q48" s="15" t="s">
        <v>16</v>
      </c>
      <c r="R48" s="15" t="s">
        <v>17</v>
      </c>
      <c r="S48" t="b">
        <v>0</v>
      </c>
      <c r="T48" s="15">
        <v>4</v>
      </c>
      <c r="U48" s="15" t="s">
        <v>17</v>
      </c>
      <c r="V48" s="15" t="s">
        <v>17</v>
      </c>
      <c r="W48">
        <f t="shared" si="1"/>
        <v>20</v>
      </c>
      <c r="X48" t="s">
        <v>334</v>
      </c>
    </row>
    <row r="49" spans="1:24" x14ac:dyDescent="0.3">
      <c r="A49" s="14">
        <v>44489</v>
      </c>
      <c r="B49" s="15" t="s">
        <v>131</v>
      </c>
      <c r="C49" s="16">
        <v>23995</v>
      </c>
      <c r="D49" s="15">
        <v>2001</v>
      </c>
      <c r="E49" s="15" t="s">
        <v>82</v>
      </c>
      <c r="F49" s="15">
        <v>911</v>
      </c>
      <c r="G49" s="15" t="s">
        <v>132</v>
      </c>
      <c r="H49" s="15" t="s">
        <v>22</v>
      </c>
      <c r="I49" s="17">
        <v>80333</v>
      </c>
      <c r="J49" s="15" t="b">
        <v>1</v>
      </c>
      <c r="K49" s="15" t="s">
        <v>36</v>
      </c>
      <c r="L49" s="15" t="s">
        <v>30</v>
      </c>
      <c r="M49" s="15">
        <v>300</v>
      </c>
      <c r="N49" s="15">
        <v>3.4</v>
      </c>
      <c r="O49" s="15" t="s">
        <v>84</v>
      </c>
      <c r="P49" s="15">
        <v>19</v>
      </c>
      <c r="Q49" s="15" t="s">
        <v>16</v>
      </c>
      <c r="R49" s="15" t="s">
        <v>17</v>
      </c>
      <c r="S49" t="b">
        <v>0</v>
      </c>
      <c r="T49" s="15">
        <v>6</v>
      </c>
      <c r="U49" s="15" t="s">
        <v>17</v>
      </c>
      <c r="V49" s="15" t="s">
        <v>17</v>
      </c>
      <c r="W49">
        <f t="shared" si="1"/>
        <v>20</v>
      </c>
      <c r="X49" t="s">
        <v>334</v>
      </c>
    </row>
    <row r="50" spans="1:24" x14ac:dyDescent="0.3">
      <c r="A50" s="14">
        <v>44489</v>
      </c>
      <c r="B50" s="15" t="s">
        <v>133</v>
      </c>
      <c r="C50" s="16">
        <v>27801</v>
      </c>
      <c r="D50" s="15">
        <v>2008</v>
      </c>
      <c r="E50" s="15" t="s">
        <v>82</v>
      </c>
      <c r="F50" s="15" t="s">
        <v>83</v>
      </c>
      <c r="G50" s="15" t="s">
        <v>29</v>
      </c>
      <c r="H50" s="15" t="s">
        <v>22</v>
      </c>
      <c r="I50" s="17">
        <v>30332</v>
      </c>
      <c r="J50" s="15" t="b">
        <v>1</v>
      </c>
      <c r="K50" s="15" t="s">
        <v>36</v>
      </c>
      <c r="L50" s="15" t="s">
        <v>30</v>
      </c>
      <c r="M50" s="15">
        <v>295</v>
      </c>
      <c r="N50" s="15">
        <v>3.4</v>
      </c>
      <c r="O50" s="15" t="s">
        <v>84</v>
      </c>
      <c r="P50" s="15">
        <v>22</v>
      </c>
      <c r="Q50" s="15" t="s">
        <v>16</v>
      </c>
      <c r="R50" s="15" t="s">
        <v>17</v>
      </c>
      <c r="S50" t="b">
        <v>0</v>
      </c>
      <c r="T50" s="15">
        <v>3</v>
      </c>
      <c r="U50" s="15" t="s">
        <v>17</v>
      </c>
      <c r="V50" s="15" t="s">
        <v>17</v>
      </c>
      <c r="W50">
        <f t="shared" si="1"/>
        <v>13</v>
      </c>
      <c r="X50" t="s">
        <v>334</v>
      </c>
    </row>
    <row r="51" spans="1:24" x14ac:dyDescent="0.3">
      <c r="A51" s="14">
        <v>44489</v>
      </c>
      <c r="B51" s="15" t="s">
        <v>134</v>
      </c>
      <c r="C51" s="16">
        <v>23200</v>
      </c>
      <c r="D51" s="15">
        <v>2002</v>
      </c>
      <c r="E51" s="15" t="s">
        <v>82</v>
      </c>
      <c r="F51" s="15">
        <v>911</v>
      </c>
      <c r="G51" s="15" t="s">
        <v>135</v>
      </c>
      <c r="H51" s="15" t="s">
        <v>22</v>
      </c>
      <c r="I51" s="17">
        <v>103577</v>
      </c>
      <c r="J51" s="15" t="b">
        <v>1</v>
      </c>
      <c r="K51" s="15" t="s">
        <v>136</v>
      </c>
      <c r="L51" s="15" t="s">
        <v>30</v>
      </c>
      <c r="M51" s="15">
        <v>320</v>
      </c>
      <c r="N51" s="15">
        <v>3.6</v>
      </c>
      <c r="O51" s="15" t="s">
        <v>84</v>
      </c>
      <c r="P51" s="15">
        <v>18</v>
      </c>
      <c r="Q51" s="15" t="s">
        <v>16</v>
      </c>
      <c r="R51" s="15" t="s">
        <v>17</v>
      </c>
      <c r="S51" t="b">
        <v>0</v>
      </c>
      <c r="T51" s="15">
        <v>6</v>
      </c>
      <c r="U51" s="15" t="s">
        <v>17</v>
      </c>
      <c r="V51" s="15" t="s">
        <v>25</v>
      </c>
      <c r="W51">
        <f t="shared" si="1"/>
        <v>19</v>
      </c>
      <c r="X51" t="s">
        <v>334</v>
      </c>
    </row>
    <row r="52" spans="1:24" x14ac:dyDescent="0.3">
      <c r="A52" s="14">
        <v>44489</v>
      </c>
      <c r="B52" s="15" t="s">
        <v>85</v>
      </c>
      <c r="C52" s="16">
        <v>16191</v>
      </c>
      <c r="D52" s="15">
        <v>2002</v>
      </c>
      <c r="E52" s="15" t="s">
        <v>82</v>
      </c>
      <c r="F52" s="15" t="s">
        <v>83</v>
      </c>
      <c r="G52" s="15"/>
      <c r="H52" s="15" t="s">
        <v>22</v>
      </c>
      <c r="I52" s="17">
        <v>40900</v>
      </c>
      <c r="J52" s="15" t="b">
        <v>0</v>
      </c>
      <c r="K52" s="15" t="s">
        <v>36</v>
      </c>
      <c r="L52" s="15" t="s">
        <v>30</v>
      </c>
      <c r="M52" s="15">
        <v>217</v>
      </c>
      <c r="N52" s="15">
        <v>2.7</v>
      </c>
      <c r="O52" s="15" t="s">
        <v>84</v>
      </c>
      <c r="P52" s="15">
        <v>19</v>
      </c>
      <c r="Q52" s="15" t="s">
        <v>16</v>
      </c>
      <c r="R52" s="15" t="s">
        <v>17</v>
      </c>
      <c r="S52" t="b">
        <v>0</v>
      </c>
      <c r="T52" s="15">
        <v>4</v>
      </c>
      <c r="U52" s="15" t="s">
        <v>17</v>
      </c>
      <c r="V52" s="15" t="s">
        <v>17</v>
      </c>
      <c r="W52">
        <f t="shared" si="1"/>
        <v>19</v>
      </c>
      <c r="X52" t="s">
        <v>334</v>
      </c>
    </row>
    <row r="53" spans="1:24" x14ac:dyDescent="0.3">
      <c r="A53" s="14">
        <v>44489</v>
      </c>
      <c r="B53" s="15" t="s">
        <v>87</v>
      </c>
      <c r="C53" s="16">
        <v>15995</v>
      </c>
      <c r="D53" s="15">
        <v>2002</v>
      </c>
      <c r="E53" s="15" t="s">
        <v>82</v>
      </c>
      <c r="F53" s="15" t="s">
        <v>83</v>
      </c>
      <c r="G53" s="15" t="s">
        <v>29</v>
      </c>
      <c r="H53" s="15" t="s">
        <v>22</v>
      </c>
      <c r="I53" s="17">
        <v>109429</v>
      </c>
      <c r="J53" s="15" t="b">
        <v>0</v>
      </c>
      <c r="K53" s="15" t="s">
        <v>36</v>
      </c>
      <c r="L53" s="15" t="s">
        <v>30</v>
      </c>
      <c r="M53" s="15">
        <v>250</v>
      </c>
      <c r="N53" s="15">
        <v>3.2</v>
      </c>
      <c r="O53" s="15" t="s">
        <v>84</v>
      </c>
      <c r="P53" s="15">
        <v>19</v>
      </c>
      <c r="Q53" s="15" t="s">
        <v>16</v>
      </c>
      <c r="R53" s="15" t="s">
        <v>17</v>
      </c>
      <c r="S53" t="b">
        <v>0</v>
      </c>
      <c r="T53" s="15">
        <v>7</v>
      </c>
      <c r="U53" s="15" t="s">
        <v>17</v>
      </c>
      <c r="V53" s="15" t="s">
        <v>17</v>
      </c>
      <c r="W53">
        <f t="shared" si="1"/>
        <v>19</v>
      </c>
      <c r="X53" t="s">
        <v>334</v>
      </c>
    </row>
    <row r="54" spans="1:24" x14ac:dyDescent="0.3">
      <c r="A54" s="14">
        <v>44489</v>
      </c>
      <c r="B54" s="15" t="s">
        <v>32</v>
      </c>
      <c r="C54" s="16">
        <v>5800</v>
      </c>
      <c r="D54" s="15">
        <v>2009</v>
      </c>
      <c r="E54" s="15" t="s">
        <v>33</v>
      </c>
      <c r="F54" s="15" t="s">
        <v>34</v>
      </c>
      <c r="G54" s="15" t="s">
        <v>35</v>
      </c>
      <c r="H54" s="15" t="s">
        <v>22</v>
      </c>
      <c r="I54" s="17">
        <v>140477</v>
      </c>
      <c r="J54" s="15" t="b">
        <v>0</v>
      </c>
      <c r="K54" s="15" t="s">
        <v>36</v>
      </c>
      <c r="L54" s="15" t="s">
        <v>30</v>
      </c>
      <c r="M54" s="15">
        <v>260</v>
      </c>
      <c r="N54" s="15">
        <v>2</v>
      </c>
      <c r="O54" s="15" t="s">
        <v>13</v>
      </c>
      <c r="P54" s="15">
        <v>23</v>
      </c>
      <c r="Q54" s="15" t="s">
        <v>16</v>
      </c>
      <c r="R54" s="15" t="s">
        <v>17</v>
      </c>
      <c r="S54" t="b">
        <v>0</v>
      </c>
      <c r="T54" s="15">
        <v>2</v>
      </c>
      <c r="U54" s="15" t="s">
        <v>17</v>
      </c>
      <c r="V54" s="15" t="s">
        <v>17</v>
      </c>
      <c r="W54">
        <f t="shared" si="1"/>
        <v>12</v>
      </c>
      <c r="X54" t="s">
        <v>335</v>
      </c>
    </row>
    <row r="55" spans="1:24" x14ac:dyDescent="0.3">
      <c r="A55" s="14">
        <v>44489</v>
      </c>
      <c r="B55" s="15" t="s">
        <v>67</v>
      </c>
      <c r="C55" s="16">
        <v>5900</v>
      </c>
      <c r="D55" s="15">
        <v>2006</v>
      </c>
      <c r="E55" s="15" t="s">
        <v>68</v>
      </c>
      <c r="F55" s="15" t="s">
        <v>69</v>
      </c>
      <c r="G55" s="15" t="s">
        <v>70</v>
      </c>
      <c r="H55" s="15" t="s">
        <v>22</v>
      </c>
      <c r="I55" s="17">
        <v>142123</v>
      </c>
      <c r="J55" s="15" t="b">
        <v>0</v>
      </c>
      <c r="K55" s="15" t="s">
        <v>8</v>
      </c>
      <c r="L55" s="15" t="s">
        <v>30</v>
      </c>
      <c r="M55" s="15">
        <v>225</v>
      </c>
      <c r="N55" s="15">
        <v>3.3</v>
      </c>
      <c r="O55" s="15" t="s">
        <v>58</v>
      </c>
      <c r="P55" s="15">
        <v>22</v>
      </c>
      <c r="Q55" s="15" t="s">
        <v>16</v>
      </c>
      <c r="R55" s="15" t="s">
        <v>17</v>
      </c>
      <c r="S55" t="b">
        <v>0</v>
      </c>
      <c r="T55" s="15">
        <v>2</v>
      </c>
      <c r="U55" s="15" t="s">
        <v>17</v>
      </c>
      <c r="V55" s="15" t="s">
        <v>17</v>
      </c>
      <c r="W55">
        <f t="shared" si="1"/>
        <v>15</v>
      </c>
      <c r="X55" t="s">
        <v>333</v>
      </c>
    </row>
    <row r="56" spans="1:24" x14ac:dyDescent="0.3">
      <c r="A56" s="14">
        <v>44489</v>
      </c>
      <c r="B56" s="15" t="s">
        <v>221</v>
      </c>
      <c r="C56" s="16">
        <v>13491</v>
      </c>
      <c r="D56" s="15">
        <v>2011</v>
      </c>
      <c r="E56" s="15" t="s">
        <v>38</v>
      </c>
      <c r="F56" s="15" t="s">
        <v>97</v>
      </c>
      <c r="G56" s="15" t="s">
        <v>216</v>
      </c>
      <c r="H56" s="15" t="s">
        <v>171</v>
      </c>
      <c r="I56" s="17">
        <v>94285</v>
      </c>
      <c r="J56" s="15" t="b">
        <v>0</v>
      </c>
      <c r="K56" s="15" t="s">
        <v>136</v>
      </c>
      <c r="L56" s="15" t="s">
        <v>30</v>
      </c>
      <c r="M56" s="15">
        <v>211</v>
      </c>
      <c r="N56" s="15">
        <v>2</v>
      </c>
      <c r="O56" s="15" t="s">
        <v>13</v>
      </c>
      <c r="P56" s="15">
        <v>25</v>
      </c>
      <c r="Q56" s="15" t="s">
        <v>16</v>
      </c>
      <c r="R56" s="15" t="s">
        <v>17</v>
      </c>
      <c r="S56" s="15" t="b">
        <v>0</v>
      </c>
      <c r="T56" s="15">
        <v>5</v>
      </c>
      <c r="U56" s="15" t="s">
        <v>17</v>
      </c>
      <c r="V56" s="15" t="s">
        <v>17</v>
      </c>
      <c r="W56">
        <f t="shared" si="1"/>
        <v>10</v>
      </c>
      <c r="X56" t="s">
        <v>334</v>
      </c>
    </row>
    <row r="57" spans="1:24" x14ac:dyDescent="0.3">
      <c r="A57" s="14">
        <v>44489</v>
      </c>
      <c r="B57" s="15" t="s">
        <v>238</v>
      </c>
      <c r="C57" s="16">
        <v>17991</v>
      </c>
      <c r="D57" s="15">
        <v>2012</v>
      </c>
      <c r="E57" s="15" t="s">
        <v>38</v>
      </c>
      <c r="F57" s="15" t="s">
        <v>239</v>
      </c>
      <c r="G57" s="15" t="s">
        <v>240</v>
      </c>
      <c r="H57" s="15" t="s">
        <v>171</v>
      </c>
      <c r="I57" s="17">
        <v>113248</v>
      </c>
      <c r="J57" s="15" t="b">
        <v>0</v>
      </c>
      <c r="K57" s="15" t="s">
        <v>136</v>
      </c>
      <c r="L57" s="15" t="s">
        <v>30</v>
      </c>
      <c r="M57" s="15">
        <v>354</v>
      </c>
      <c r="N57" s="15">
        <v>4.2</v>
      </c>
      <c r="O57" s="15" t="s">
        <v>74</v>
      </c>
      <c r="P57" s="15">
        <v>20</v>
      </c>
      <c r="Q57" s="15" t="s">
        <v>16</v>
      </c>
      <c r="R57" s="15" t="s">
        <v>17</v>
      </c>
      <c r="S57" s="15" t="b">
        <v>0</v>
      </c>
      <c r="T57" s="15">
        <v>3</v>
      </c>
      <c r="U57" s="15" t="s">
        <v>17</v>
      </c>
      <c r="V57" s="15" t="s">
        <v>17</v>
      </c>
      <c r="W57">
        <f t="shared" si="1"/>
        <v>9</v>
      </c>
      <c r="X57" t="s">
        <v>334</v>
      </c>
    </row>
    <row r="58" spans="1:24" x14ac:dyDescent="0.3">
      <c r="A58" s="14">
        <v>44489</v>
      </c>
      <c r="B58" s="15" t="s">
        <v>184</v>
      </c>
      <c r="C58" s="16">
        <v>9995</v>
      </c>
      <c r="D58" s="15">
        <v>2006</v>
      </c>
      <c r="E58" s="15" t="s">
        <v>42</v>
      </c>
      <c r="F58" s="15" t="s">
        <v>122</v>
      </c>
      <c r="G58" s="15" t="s">
        <v>123</v>
      </c>
      <c r="H58" s="15" t="s">
        <v>171</v>
      </c>
      <c r="I58" s="17">
        <v>96154</v>
      </c>
      <c r="J58" s="15" t="b">
        <v>0</v>
      </c>
      <c r="K58" s="15" t="s">
        <v>36</v>
      </c>
      <c r="L58" s="15" t="s">
        <v>30</v>
      </c>
      <c r="M58" s="15">
        <v>360</v>
      </c>
      <c r="N58" s="15">
        <v>4.8</v>
      </c>
      <c r="O58" s="15" t="s">
        <v>74</v>
      </c>
      <c r="P58" s="15">
        <v>19</v>
      </c>
      <c r="Q58" s="15" t="s">
        <v>16</v>
      </c>
      <c r="R58" s="15" t="s">
        <v>17</v>
      </c>
      <c r="S58" s="15" t="b">
        <v>1</v>
      </c>
      <c r="T58" s="15">
        <v>5</v>
      </c>
      <c r="U58" s="15" t="s">
        <v>17</v>
      </c>
      <c r="V58" s="15" t="s">
        <v>17</v>
      </c>
      <c r="W58">
        <f t="shared" si="1"/>
        <v>15</v>
      </c>
      <c r="X58" t="s">
        <v>334</v>
      </c>
    </row>
    <row r="59" spans="1:24" x14ac:dyDescent="0.3">
      <c r="A59" s="14">
        <v>44489</v>
      </c>
      <c r="B59" s="15" t="s">
        <v>187</v>
      </c>
      <c r="C59" s="16">
        <v>7995</v>
      </c>
      <c r="D59" s="15">
        <v>2012</v>
      </c>
      <c r="E59" s="15" t="s">
        <v>42</v>
      </c>
      <c r="F59" s="15" t="s">
        <v>148</v>
      </c>
      <c r="G59" s="15" t="s">
        <v>188</v>
      </c>
      <c r="H59" s="15" t="s">
        <v>171</v>
      </c>
      <c r="I59" s="17">
        <v>126621</v>
      </c>
      <c r="J59" s="15" t="b">
        <v>0</v>
      </c>
      <c r="K59" s="15" t="s">
        <v>36</v>
      </c>
      <c r="L59" s="15" t="s">
        <v>30</v>
      </c>
      <c r="M59" s="15">
        <v>230</v>
      </c>
      <c r="N59" s="15">
        <v>3</v>
      </c>
      <c r="O59" s="15" t="s">
        <v>49</v>
      </c>
      <c r="P59" s="15">
        <v>23</v>
      </c>
      <c r="Q59" s="15" t="s">
        <v>16</v>
      </c>
      <c r="R59" s="15" t="s">
        <v>17</v>
      </c>
      <c r="S59" s="15" t="b">
        <v>1</v>
      </c>
      <c r="T59" s="15">
        <v>2</v>
      </c>
      <c r="U59" s="15" t="s">
        <v>17</v>
      </c>
      <c r="V59" s="15" t="s">
        <v>17</v>
      </c>
      <c r="W59">
        <f t="shared" si="1"/>
        <v>9</v>
      </c>
      <c r="X59" t="s">
        <v>334</v>
      </c>
    </row>
    <row r="60" spans="1:24" x14ac:dyDescent="0.3">
      <c r="A60" s="14">
        <v>44489</v>
      </c>
      <c r="B60" s="15" t="s">
        <v>189</v>
      </c>
      <c r="C60" s="16">
        <v>9299</v>
      </c>
      <c r="D60" s="15">
        <v>2005</v>
      </c>
      <c r="E60" s="15" t="s">
        <v>42</v>
      </c>
      <c r="F60" s="15" t="s">
        <v>51</v>
      </c>
      <c r="G60" s="15" t="s">
        <v>190</v>
      </c>
      <c r="H60" s="15" t="s">
        <v>171</v>
      </c>
      <c r="I60" s="17">
        <v>70975</v>
      </c>
      <c r="J60" s="15" t="b">
        <v>0</v>
      </c>
      <c r="K60" s="15" t="s">
        <v>36</v>
      </c>
      <c r="L60" s="15" t="s">
        <v>30</v>
      </c>
      <c r="M60" s="15">
        <v>184</v>
      </c>
      <c r="N60" s="15">
        <v>2.5</v>
      </c>
      <c r="O60" s="15" t="s">
        <v>49</v>
      </c>
      <c r="P60" s="15">
        <v>21</v>
      </c>
      <c r="Q60" s="15" t="s">
        <v>16</v>
      </c>
      <c r="R60" s="15" t="s">
        <v>17</v>
      </c>
      <c r="S60" s="15" t="b">
        <v>0</v>
      </c>
      <c r="T60" s="15">
        <v>2</v>
      </c>
      <c r="U60" s="15" t="s">
        <v>17</v>
      </c>
      <c r="V60" s="15" t="s">
        <v>17</v>
      </c>
      <c r="W60">
        <f t="shared" si="1"/>
        <v>16</v>
      </c>
      <c r="X60" t="s">
        <v>334</v>
      </c>
    </row>
    <row r="61" spans="1:24" x14ac:dyDescent="0.3">
      <c r="A61" s="14">
        <v>44489</v>
      </c>
      <c r="B61" s="15" t="s">
        <v>219</v>
      </c>
      <c r="C61" s="16">
        <v>19997</v>
      </c>
      <c r="D61" s="15">
        <v>2015</v>
      </c>
      <c r="E61" s="15" t="s">
        <v>42</v>
      </c>
      <c r="F61" s="15" t="s">
        <v>138</v>
      </c>
      <c r="G61" s="15" t="s">
        <v>220</v>
      </c>
      <c r="H61" s="15" t="s">
        <v>171</v>
      </c>
      <c r="I61" s="17">
        <v>90300</v>
      </c>
      <c r="J61" s="15" t="b">
        <v>0</v>
      </c>
      <c r="K61" s="15" t="s">
        <v>136</v>
      </c>
      <c r="L61" s="15" t="s">
        <v>30</v>
      </c>
      <c r="M61" s="15">
        <v>240</v>
      </c>
      <c r="N61" s="15">
        <v>2</v>
      </c>
      <c r="O61" s="15" t="s">
        <v>13</v>
      </c>
      <c r="P61" s="15">
        <v>27</v>
      </c>
      <c r="Q61" s="15" t="s">
        <v>16</v>
      </c>
      <c r="R61" s="15" t="s">
        <v>17</v>
      </c>
      <c r="S61" s="15" t="b">
        <v>0</v>
      </c>
      <c r="T61" s="15">
        <v>1</v>
      </c>
      <c r="U61" s="15" t="s">
        <v>17</v>
      </c>
      <c r="V61" s="15" t="s">
        <v>17</v>
      </c>
      <c r="W61">
        <f t="shared" si="1"/>
        <v>6</v>
      </c>
      <c r="X61" t="s">
        <v>334</v>
      </c>
    </row>
    <row r="62" spans="1:24" x14ac:dyDescent="0.3">
      <c r="A62" s="14">
        <v>44489</v>
      </c>
      <c r="B62" s="15" t="s">
        <v>231</v>
      </c>
      <c r="C62" s="16">
        <v>16995</v>
      </c>
      <c r="D62" s="15">
        <v>2014</v>
      </c>
      <c r="E62" s="15" t="s">
        <v>42</v>
      </c>
      <c r="F62" s="15" t="s">
        <v>138</v>
      </c>
      <c r="G62" s="15" t="s">
        <v>152</v>
      </c>
      <c r="H62" s="15" t="s">
        <v>171</v>
      </c>
      <c r="I62" s="17">
        <v>129734</v>
      </c>
      <c r="J62" s="15" t="b">
        <v>0</v>
      </c>
      <c r="K62" s="15" t="s">
        <v>36</v>
      </c>
      <c r="L62" s="15" t="s">
        <v>30</v>
      </c>
      <c r="M62" s="15">
        <v>300</v>
      </c>
      <c r="N62" s="15">
        <v>3</v>
      </c>
      <c r="O62" s="15" t="s">
        <v>49</v>
      </c>
      <c r="P62" s="15">
        <v>27</v>
      </c>
      <c r="Q62" s="15" t="s">
        <v>16</v>
      </c>
      <c r="R62" s="15" t="s">
        <v>17</v>
      </c>
      <c r="S62" s="15" t="b">
        <v>0</v>
      </c>
      <c r="T62" s="15">
        <v>3</v>
      </c>
      <c r="U62" s="15" t="s">
        <v>17</v>
      </c>
      <c r="V62" s="15" t="s">
        <v>17</v>
      </c>
      <c r="W62">
        <f t="shared" si="1"/>
        <v>7</v>
      </c>
      <c r="X62" t="s">
        <v>334</v>
      </c>
    </row>
    <row r="63" spans="1:24" x14ac:dyDescent="0.3">
      <c r="A63" s="14">
        <v>44489</v>
      </c>
      <c r="B63" s="15" t="s">
        <v>232</v>
      </c>
      <c r="C63" s="16">
        <v>10295</v>
      </c>
      <c r="D63" s="15">
        <v>2012</v>
      </c>
      <c r="E63" s="15" t="s">
        <v>42</v>
      </c>
      <c r="F63" s="15" t="s">
        <v>148</v>
      </c>
      <c r="G63" s="15" t="s">
        <v>188</v>
      </c>
      <c r="H63" s="15" t="s">
        <v>171</v>
      </c>
      <c r="I63" s="17">
        <v>98406</v>
      </c>
      <c r="J63" s="15" t="b">
        <v>0</v>
      </c>
      <c r="K63" s="15" t="s">
        <v>36</v>
      </c>
      <c r="L63" s="15" t="s">
        <v>30</v>
      </c>
      <c r="M63" s="15">
        <v>230</v>
      </c>
      <c r="N63" s="15">
        <v>3</v>
      </c>
      <c r="O63" s="15" t="s">
        <v>49</v>
      </c>
      <c r="P63" s="15">
        <v>23</v>
      </c>
      <c r="Q63" s="15" t="s">
        <v>16</v>
      </c>
      <c r="R63" s="15" t="s">
        <v>17</v>
      </c>
      <c r="S63" s="15" t="b">
        <v>0</v>
      </c>
      <c r="T63" s="15">
        <v>4</v>
      </c>
      <c r="U63" s="15" t="s">
        <v>17</v>
      </c>
      <c r="V63" s="15" t="s">
        <v>17</v>
      </c>
      <c r="W63">
        <f t="shared" si="1"/>
        <v>9</v>
      </c>
      <c r="X63" t="s">
        <v>334</v>
      </c>
    </row>
    <row r="64" spans="1:24" x14ac:dyDescent="0.3">
      <c r="A64" s="14">
        <v>44489</v>
      </c>
      <c r="B64" s="15" t="s">
        <v>233</v>
      </c>
      <c r="C64" s="16">
        <v>10500</v>
      </c>
      <c r="D64" s="15">
        <v>2011</v>
      </c>
      <c r="E64" s="15" t="s">
        <v>42</v>
      </c>
      <c r="F64" s="15" t="s">
        <v>51</v>
      </c>
      <c r="G64" s="15" t="s">
        <v>52</v>
      </c>
      <c r="H64" s="15" t="s">
        <v>171</v>
      </c>
      <c r="I64" s="17">
        <v>117200</v>
      </c>
      <c r="J64" s="15" t="b">
        <v>0</v>
      </c>
      <c r="K64" s="15" t="s">
        <v>136</v>
      </c>
      <c r="L64" s="15" t="s">
        <v>30</v>
      </c>
      <c r="M64" s="15">
        <v>230</v>
      </c>
      <c r="N64" s="15">
        <v>3</v>
      </c>
      <c r="O64" s="15" t="s">
        <v>49</v>
      </c>
      <c r="P64" s="15">
        <v>21</v>
      </c>
      <c r="Q64" s="15" t="s">
        <v>16</v>
      </c>
      <c r="R64" s="15" t="s">
        <v>17</v>
      </c>
      <c r="S64" s="15" t="b">
        <v>0</v>
      </c>
      <c r="T64" s="15">
        <v>3</v>
      </c>
      <c r="U64" s="15" t="s">
        <v>17</v>
      </c>
      <c r="V64" s="15" t="s">
        <v>25</v>
      </c>
      <c r="W64">
        <f t="shared" si="1"/>
        <v>10</v>
      </c>
      <c r="X64" t="s">
        <v>334</v>
      </c>
    </row>
    <row r="65" spans="1:24" x14ac:dyDescent="0.3">
      <c r="A65" s="14">
        <v>44489</v>
      </c>
      <c r="B65" s="15" t="s">
        <v>241</v>
      </c>
      <c r="C65" s="16">
        <v>19291</v>
      </c>
      <c r="D65" s="15">
        <v>2012</v>
      </c>
      <c r="E65" s="15" t="s">
        <v>42</v>
      </c>
      <c r="F65" s="15" t="s">
        <v>122</v>
      </c>
      <c r="G65" s="15" t="s">
        <v>123</v>
      </c>
      <c r="H65" s="15" t="s">
        <v>171</v>
      </c>
      <c r="I65" s="17">
        <v>90505</v>
      </c>
      <c r="J65" s="15" t="b">
        <v>0</v>
      </c>
      <c r="K65" s="15" t="s">
        <v>36</v>
      </c>
      <c r="L65" s="15" t="s">
        <v>30</v>
      </c>
      <c r="M65" s="15">
        <v>400</v>
      </c>
      <c r="N65" s="15">
        <v>4.4000000000000004</v>
      </c>
      <c r="O65" s="15" t="s">
        <v>74</v>
      </c>
      <c r="P65" s="15">
        <v>19</v>
      </c>
      <c r="Q65" s="15" t="s">
        <v>16</v>
      </c>
      <c r="R65" s="15" t="s">
        <v>17</v>
      </c>
      <c r="S65" s="15" t="b">
        <v>1</v>
      </c>
      <c r="T65" s="15">
        <v>4</v>
      </c>
      <c r="U65" s="15" t="s">
        <v>17</v>
      </c>
      <c r="V65" s="15" t="s">
        <v>17</v>
      </c>
      <c r="W65">
        <f t="shared" si="1"/>
        <v>9</v>
      </c>
      <c r="X65" t="s">
        <v>334</v>
      </c>
    </row>
    <row r="66" spans="1:24" x14ac:dyDescent="0.3">
      <c r="A66" s="14">
        <v>44489</v>
      </c>
      <c r="B66" s="15" t="s">
        <v>254</v>
      </c>
      <c r="C66" s="16">
        <v>26997</v>
      </c>
      <c r="D66" s="15">
        <v>2010</v>
      </c>
      <c r="E66" s="15" t="s">
        <v>42</v>
      </c>
      <c r="F66" s="15" t="s">
        <v>51</v>
      </c>
      <c r="G66" s="15" t="s">
        <v>103</v>
      </c>
      <c r="H66" s="15" t="s">
        <v>171</v>
      </c>
      <c r="I66" s="17">
        <v>102823</v>
      </c>
      <c r="J66" s="15" t="b">
        <v>0</v>
      </c>
      <c r="K66" s="15" t="s">
        <v>36</v>
      </c>
      <c r="L66" s="15" t="s">
        <v>30</v>
      </c>
      <c r="M66" s="15">
        <v>414</v>
      </c>
      <c r="N66" s="15">
        <v>4</v>
      </c>
      <c r="O66" s="15" t="s">
        <v>74</v>
      </c>
      <c r="P66" s="15">
        <v>17</v>
      </c>
      <c r="Q66" s="15" t="s">
        <v>16</v>
      </c>
      <c r="R66" s="15" t="s">
        <v>17</v>
      </c>
      <c r="S66" s="15" t="b">
        <v>1</v>
      </c>
      <c r="T66" s="15">
        <v>3</v>
      </c>
      <c r="U66" s="15" t="s">
        <v>17</v>
      </c>
      <c r="V66" s="15" t="s">
        <v>17</v>
      </c>
      <c r="W66">
        <f t="shared" ref="W66:W99" si="2">2021-D66</f>
        <v>11</v>
      </c>
      <c r="X66" t="s">
        <v>334</v>
      </c>
    </row>
    <row r="67" spans="1:24" x14ac:dyDescent="0.3">
      <c r="A67" s="14">
        <v>44489</v>
      </c>
      <c r="B67" s="15" t="s">
        <v>201</v>
      </c>
      <c r="C67" s="16">
        <v>8500</v>
      </c>
      <c r="D67" s="15">
        <v>1989</v>
      </c>
      <c r="E67" s="15" t="s">
        <v>144</v>
      </c>
      <c r="F67" s="15" t="s">
        <v>202</v>
      </c>
      <c r="G67" s="15"/>
      <c r="H67" s="15" t="s">
        <v>171</v>
      </c>
      <c r="I67" s="17">
        <v>82332</v>
      </c>
      <c r="J67" s="15" t="b">
        <v>0</v>
      </c>
      <c r="K67" s="15" t="s">
        <v>8</v>
      </c>
      <c r="L67" s="15" t="s">
        <v>30</v>
      </c>
      <c r="M67" s="15">
        <v>165</v>
      </c>
      <c r="N67" s="15">
        <v>3.8</v>
      </c>
      <c r="O67" s="15" t="s">
        <v>58</v>
      </c>
      <c r="P67" s="15">
        <v>21</v>
      </c>
      <c r="Q67" s="15" t="s">
        <v>16</v>
      </c>
      <c r="R67" s="15" t="s">
        <v>17</v>
      </c>
      <c r="S67" s="15" t="b">
        <v>0</v>
      </c>
      <c r="T67" s="15">
        <v>3</v>
      </c>
      <c r="U67" s="15" t="s">
        <v>17</v>
      </c>
      <c r="V67" s="15" t="s">
        <v>17</v>
      </c>
      <c r="W67">
        <f t="shared" si="2"/>
        <v>32</v>
      </c>
      <c r="X67" t="s">
        <v>335</v>
      </c>
    </row>
    <row r="68" spans="1:24" x14ac:dyDescent="0.3">
      <c r="A68" s="14">
        <v>44489</v>
      </c>
      <c r="B68" s="15" t="s">
        <v>246</v>
      </c>
      <c r="C68" s="16">
        <v>11998</v>
      </c>
      <c r="D68" s="15">
        <v>2000</v>
      </c>
      <c r="E68" s="15" t="s">
        <v>119</v>
      </c>
      <c r="F68" s="15" t="s">
        <v>247</v>
      </c>
      <c r="G68" s="15" t="s">
        <v>248</v>
      </c>
      <c r="H68" s="15" t="s">
        <v>171</v>
      </c>
      <c r="I68" s="17">
        <v>58867</v>
      </c>
      <c r="J68" s="15" t="b">
        <v>0</v>
      </c>
      <c r="K68" s="15" t="s">
        <v>8</v>
      </c>
      <c r="L68" s="15" t="s">
        <v>30</v>
      </c>
      <c r="M68" s="15">
        <v>275</v>
      </c>
      <c r="N68" s="15">
        <v>4.5999999999999996</v>
      </c>
      <c r="O68" s="15" t="s">
        <v>74</v>
      </c>
      <c r="P68" s="15">
        <v>20</v>
      </c>
      <c r="Q68" s="15" t="s">
        <v>16</v>
      </c>
      <c r="R68" s="15" t="s">
        <v>17</v>
      </c>
      <c r="S68" s="15" t="b">
        <v>0</v>
      </c>
      <c r="T68" s="15">
        <v>4</v>
      </c>
      <c r="U68" s="15" t="s">
        <v>17</v>
      </c>
      <c r="V68" s="15" t="s">
        <v>25</v>
      </c>
      <c r="W68">
        <f t="shared" si="2"/>
        <v>21</v>
      </c>
      <c r="X68" t="s">
        <v>335</v>
      </c>
    </row>
    <row r="69" spans="1:24" x14ac:dyDescent="0.3">
      <c r="A69" s="14">
        <v>44489</v>
      </c>
      <c r="B69" s="15" t="s">
        <v>255</v>
      </c>
      <c r="C69" s="16">
        <v>26991</v>
      </c>
      <c r="D69" s="15">
        <v>2011</v>
      </c>
      <c r="E69" s="15" t="s">
        <v>119</v>
      </c>
      <c r="F69" s="15" t="s">
        <v>256</v>
      </c>
      <c r="G69" s="15"/>
      <c r="H69" s="15" t="s">
        <v>171</v>
      </c>
      <c r="I69" s="17">
        <v>134323</v>
      </c>
      <c r="J69" s="15" t="b">
        <v>0</v>
      </c>
      <c r="K69" s="15" t="s">
        <v>36</v>
      </c>
      <c r="L69" s="15" t="s">
        <v>30</v>
      </c>
      <c r="M69" s="15">
        <v>556</v>
      </c>
      <c r="N69" s="15">
        <v>6.2</v>
      </c>
      <c r="O69" s="15" t="s">
        <v>74</v>
      </c>
      <c r="P69" s="15">
        <v>15</v>
      </c>
      <c r="Q69" s="15" t="s">
        <v>16</v>
      </c>
      <c r="R69" s="15" t="s">
        <v>17</v>
      </c>
      <c r="S69" s="15" t="b">
        <v>0</v>
      </c>
      <c r="T69" s="15">
        <v>1</v>
      </c>
      <c r="U69" s="15" t="s">
        <v>17</v>
      </c>
      <c r="V69" s="15" t="s">
        <v>17</v>
      </c>
      <c r="W69">
        <f t="shared" si="2"/>
        <v>10</v>
      </c>
      <c r="X69" t="s">
        <v>335</v>
      </c>
    </row>
    <row r="70" spans="1:24" x14ac:dyDescent="0.3">
      <c r="A70" s="14">
        <v>44489</v>
      </c>
      <c r="B70" s="15" t="s">
        <v>209</v>
      </c>
      <c r="C70" s="16">
        <v>19500</v>
      </c>
      <c r="D70" s="15">
        <v>2017</v>
      </c>
      <c r="E70" s="15" t="s">
        <v>76</v>
      </c>
      <c r="F70" s="15" t="s">
        <v>157</v>
      </c>
      <c r="G70" s="15" t="s">
        <v>158</v>
      </c>
      <c r="H70" s="15" t="s">
        <v>171</v>
      </c>
      <c r="I70" s="17">
        <v>69152</v>
      </c>
      <c r="J70" s="15" t="b">
        <v>0</v>
      </c>
      <c r="K70" s="15" t="s">
        <v>36</v>
      </c>
      <c r="L70" s="15" t="s">
        <v>30</v>
      </c>
      <c r="M70" s="15">
        <v>275</v>
      </c>
      <c r="N70" s="15">
        <v>2</v>
      </c>
      <c r="O70" s="15" t="s">
        <v>13</v>
      </c>
      <c r="P70" s="15">
        <v>26</v>
      </c>
      <c r="Q70" s="15" t="s">
        <v>16</v>
      </c>
      <c r="R70" s="15" t="s">
        <v>17</v>
      </c>
      <c r="S70" s="15" t="b">
        <v>0</v>
      </c>
      <c r="T70" s="15">
        <v>3</v>
      </c>
      <c r="U70" s="15" t="s">
        <v>17</v>
      </c>
      <c r="V70" s="15" t="s">
        <v>25</v>
      </c>
      <c r="W70">
        <f t="shared" si="2"/>
        <v>4</v>
      </c>
      <c r="X70" t="s">
        <v>335</v>
      </c>
    </row>
    <row r="71" spans="1:24" x14ac:dyDescent="0.3">
      <c r="A71" s="14">
        <v>44489</v>
      </c>
      <c r="B71" s="15" t="s">
        <v>237</v>
      </c>
      <c r="C71" s="16">
        <v>19980</v>
      </c>
      <c r="D71" s="15">
        <v>2004</v>
      </c>
      <c r="E71" s="15" t="s">
        <v>76</v>
      </c>
      <c r="F71" s="15" t="s">
        <v>77</v>
      </c>
      <c r="G71" s="15"/>
      <c r="H71" s="15" t="s">
        <v>171</v>
      </c>
      <c r="I71" s="17">
        <v>57156</v>
      </c>
      <c r="J71" s="15" t="b">
        <v>0</v>
      </c>
      <c r="K71" s="15" t="s">
        <v>36</v>
      </c>
      <c r="L71" s="15" t="s">
        <v>30</v>
      </c>
      <c r="M71" s="15">
        <v>350</v>
      </c>
      <c r="N71" s="15">
        <v>5.7</v>
      </c>
      <c r="O71" s="15" t="s">
        <v>74</v>
      </c>
      <c r="P71" s="15">
        <v>19</v>
      </c>
      <c r="Q71" s="15" t="s">
        <v>16</v>
      </c>
      <c r="R71" s="15" t="s">
        <v>17</v>
      </c>
      <c r="S71" s="15" t="b">
        <v>0</v>
      </c>
      <c r="T71" s="15">
        <v>4</v>
      </c>
      <c r="U71" s="15" t="s">
        <v>17</v>
      </c>
      <c r="V71" s="15" t="s">
        <v>17</v>
      </c>
      <c r="W71">
        <f t="shared" si="2"/>
        <v>17</v>
      </c>
      <c r="X71" t="s">
        <v>335</v>
      </c>
    </row>
    <row r="72" spans="1:24" x14ac:dyDescent="0.3">
      <c r="A72" s="14">
        <v>44489</v>
      </c>
      <c r="B72" s="15" t="s">
        <v>257</v>
      </c>
      <c r="C72" s="16">
        <v>27000</v>
      </c>
      <c r="D72" s="15">
        <v>2016</v>
      </c>
      <c r="E72" s="15" t="s">
        <v>76</v>
      </c>
      <c r="F72" s="15" t="s">
        <v>157</v>
      </c>
      <c r="G72" s="15" t="s">
        <v>258</v>
      </c>
      <c r="H72" s="15" t="s">
        <v>171</v>
      </c>
      <c r="I72" s="17">
        <v>93363</v>
      </c>
      <c r="J72" s="15" t="b">
        <v>0</v>
      </c>
      <c r="K72" s="15" t="s">
        <v>36</v>
      </c>
      <c r="L72" s="15" t="s">
        <v>30</v>
      </c>
      <c r="M72" s="15">
        <v>455</v>
      </c>
      <c r="N72" s="15">
        <v>6.2</v>
      </c>
      <c r="O72" s="15" t="s">
        <v>74</v>
      </c>
      <c r="P72" s="15">
        <v>22</v>
      </c>
      <c r="Q72" s="15" t="s">
        <v>16</v>
      </c>
      <c r="R72" s="15" t="s">
        <v>17</v>
      </c>
      <c r="S72" s="15" t="b">
        <v>0</v>
      </c>
      <c r="T72" s="15">
        <v>3</v>
      </c>
      <c r="U72" s="15" t="s">
        <v>17</v>
      </c>
      <c r="V72" s="15" t="s">
        <v>17</v>
      </c>
      <c r="W72">
        <f t="shared" si="2"/>
        <v>5</v>
      </c>
      <c r="X72" t="s">
        <v>335</v>
      </c>
    </row>
    <row r="73" spans="1:24" x14ac:dyDescent="0.3">
      <c r="A73" s="14">
        <v>44489</v>
      </c>
      <c r="B73" s="15" t="s">
        <v>227</v>
      </c>
      <c r="C73" s="16">
        <v>17500</v>
      </c>
      <c r="D73" s="15">
        <v>2016</v>
      </c>
      <c r="E73" s="15" t="s">
        <v>228</v>
      </c>
      <c r="F73" s="15" t="s">
        <v>229</v>
      </c>
      <c r="G73" s="15" t="s">
        <v>230</v>
      </c>
      <c r="H73" s="15" t="s">
        <v>171</v>
      </c>
      <c r="I73" s="17">
        <v>99895</v>
      </c>
      <c r="J73" s="15" t="b">
        <v>0</v>
      </c>
      <c r="K73" s="15" t="s">
        <v>36</v>
      </c>
      <c r="L73" s="15" t="s">
        <v>30</v>
      </c>
      <c r="M73" s="15">
        <v>305</v>
      </c>
      <c r="N73" s="15">
        <v>3.6</v>
      </c>
      <c r="O73" s="15" t="s">
        <v>58</v>
      </c>
      <c r="P73" s="15">
        <v>24</v>
      </c>
      <c r="Q73" s="15" t="s">
        <v>16</v>
      </c>
      <c r="R73" s="15" t="s">
        <v>25</v>
      </c>
      <c r="S73" s="15" t="b">
        <v>1</v>
      </c>
      <c r="T73" s="15">
        <v>1</v>
      </c>
      <c r="U73" s="15" t="s">
        <v>17</v>
      </c>
      <c r="V73" s="15" t="s">
        <v>17</v>
      </c>
      <c r="W73">
        <f t="shared" si="2"/>
        <v>5</v>
      </c>
      <c r="X73" t="s">
        <v>335</v>
      </c>
    </row>
    <row r="74" spans="1:24" x14ac:dyDescent="0.3">
      <c r="A74" s="14">
        <v>44489</v>
      </c>
      <c r="B74" s="15" t="s">
        <v>235</v>
      </c>
      <c r="C74" s="16">
        <v>19591</v>
      </c>
      <c r="D74" s="15">
        <v>2010</v>
      </c>
      <c r="E74" s="15" t="s">
        <v>228</v>
      </c>
      <c r="F74" s="15" t="s">
        <v>229</v>
      </c>
      <c r="G74" s="15" t="s">
        <v>236</v>
      </c>
      <c r="H74" s="15" t="s">
        <v>171</v>
      </c>
      <c r="I74" s="17">
        <v>56464</v>
      </c>
      <c r="J74" s="15" t="b">
        <v>0</v>
      </c>
      <c r="K74" s="15" t="s">
        <v>36</v>
      </c>
      <c r="L74" s="15" t="s">
        <v>30</v>
      </c>
      <c r="M74" s="15">
        <v>372</v>
      </c>
      <c r="N74" s="15">
        <v>5.7</v>
      </c>
      <c r="O74" s="15" t="s">
        <v>74</v>
      </c>
      <c r="P74" s="15">
        <v>20</v>
      </c>
      <c r="Q74" s="15" t="s">
        <v>16</v>
      </c>
      <c r="R74" s="15" t="s">
        <v>17</v>
      </c>
      <c r="S74" s="15" t="b">
        <v>1</v>
      </c>
      <c r="T74" s="15">
        <v>3</v>
      </c>
      <c r="U74" s="15" t="s">
        <v>17</v>
      </c>
      <c r="V74" s="15" t="s">
        <v>17</v>
      </c>
      <c r="W74">
        <f t="shared" si="2"/>
        <v>11</v>
      </c>
      <c r="X74" t="s">
        <v>335</v>
      </c>
    </row>
    <row r="75" spans="1:24" x14ac:dyDescent="0.3">
      <c r="A75" s="14">
        <v>44489</v>
      </c>
      <c r="B75" s="15" t="s">
        <v>259</v>
      </c>
      <c r="C75" s="16">
        <v>29991</v>
      </c>
      <c r="D75" s="15">
        <v>2016</v>
      </c>
      <c r="E75" s="15" t="s">
        <v>228</v>
      </c>
      <c r="F75" s="15" t="s">
        <v>229</v>
      </c>
      <c r="G75" s="15" t="s">
        <v>260</v>
      </c>
      <c r="H75" s="15" t="s">
        <v>171</v>
      </c>
      <c r="I75" s="17">
        <v>45762</v>
      </c>
      <c r="J75" s="15" t="b">
        <v>1</v>
      </c>
      <c r="K75" s="15" t="s">
        <v>36</v>
      </c>
      <c r="L75" s="15" t="s">
        <v>30</v>
      </c>
      <c r="M75" s="15">
        <v>375</v>
      </c>
      <c r="N75" s="15">
        <v>5.7</v>
      </c>
      <c r="O75" s="15" t="s">
        <v>74</v>
      </c>
      <c r="P75" s="15">
        <v>19</v>
      </c>
      <c r="Q75" s="15" t="s">
        <v>16</v>
      </c>
      <c r="R75" s="15" t="s">
        <v>17</v>
      </c>
      <c r="S75" s="15" t="b">
        <v>1</v>
      </c>
      <c r="T75" s="15">
        <v>2</v>
      </c>
      <c r="U75" s="15" t="s">
        <v>17</v>
      </c>
      <c r="V75" s="15" t="s">
        <v>17</v>
      </c>
      <c r="W75">
        <f t="shared" si="2"/>
        <v>5</v>
      </c>
      <c r="X75" t="s">
        <v>335</v>
      </c>
    </row>
    <row r="76" spans="1:24" x14ac:dyDescent="0.3">
      <c r="A76" s="14">
        <v>44489</v>
      </c>
      <c r="B76" s="15" t="s">
        <v>185</v>
      </c>
      <c r="C76" s="16">
        <v>6499</v>
      </c>
      <c r="D76" s="15">
        <v>2007</v>
      </c>
      <c r="E76" s="15" t="s">
        <v>63</v>
      </c>
      <c r="F76" s="15" t="s">
        <v>64</v>
      </c>
      <c r="G76" s="15" t="s">
        <v>186</v>
      </c>
      <c r="H76" s="15" t="s">
        <v>171</v>
      </c>
      <c r="I76" s="17">
        <v>135256</v>
      </c>
      <c r="J76" s="15" t="b">
        <v>0</v>
      </c>
      <c r="K76" s="15" t="s">
        <v>36</v>
      </c>
      <c r="L76" s="15" t="s">
        <v>30</v>
      </c>
      <c r="M76" s="15">
        <v>300</v>
      </c>
      <c r="N76" s="15">
        <v>4.5999999999999996</v>
      </c>
      <c r="O76" s="15" t="s">
        <v>74</v>
      </c>
      <c r="P76" s="15">
        <v>18</v>
      </c>
      <c r="Q76" s="15" t="s">
        <v>16</v>
      </c>
      <c r="R76" s="15" t="s">
        <v>17</v>
      </c>
      <c r="S76" s="15" t="b">
        <v>0</v>
      </c>
      <c r="T76" s="15">
        <v>6</v>
      </c>
      <c r="U76" s="15" t="s">
        <v>17</v>
      </c>
      <c r="V76" s="15" t="s">
        <v>25</v>
      </c>
      <c r="W76">
        <f t="shared" si="2"/>
        <v>14</v>
      </c>
      <c r="X76" t="s">
        <v>335</v>
      </c>
    </row>
    <row r="77" spans="1:24" x14ac:dyDescent="0.3">
      <c r="A77" s="14">
        <v>44489</v>
      </c>
      <c r="B77" s="15" t="s">
        <v>196</v>
      </c>
      <c r="C77" s="16">
        <v>9250</v>
      </c>
      <c r="D77" s="15">
        <v>2011</v>
      </c>
      <c r="E77" s="15" t="s">
        <v>63</v>
      </c>
      <c r="F77" s="15" t="s">
        <v>64</v>
      </c>
      <c r="G77" s="15"/>
      <c r="H77" s="15" t="s">
        <v>171</v>
      </c>
      <c r="I77" s="17">
        <v>141950</v>
      </c>
      <c r="J77" s="15" t="b">
        <v>0</v>
      </c>
      <c r="K77" s="15" t="s">
        <v>36</v>
      </c>
      <c r="L77" s="15" t="s">
        <v>30</v>
      </c>
      <c r="M77" s="15">
        <v>305</v>
      </c>
      <c r="N77" s="15">
        <v>3.7</v>
      </c>
      <c r="O77" s="15" t="s">
        <v>58</v>
      </c>
      <c r="P77" s="15">
        <v>24</v>
      </c>
      <c r="Q77" s="15" t="s">
        <v>16</v>
      </c>
      <c r="R77" s="15" t="s">
        <v>17</v>
      </c>
      <c r="S77" s="15" t="b">
        <v>0</v>
      </c>
      <c r="T77" s="15">
        <v>2</v>
      </c>
      <c r="U77" s="15" t="s">
        <v>17</v>
      </c>
      <c r="V77" s="15" t="s">
        <v>17</v>
      </c>
      <c r="W77">
        <f t="shared" si="2"/>
        <v>10</v>
      </c>
      <c r="X77" t="s">
        <v>335</v>
      </c>
    </row>
    <row r="78" spans="1:24" x14ac:dyDescent="0.3">
      <c r="A78" s="14">
        <v>44489</v>
      </c>
      <c r="B78" s="15" t="s">
        <v>222</v>
      </c>
      <c r="C78" s="16">
        <v>16999</v>
      </c>
      <c r="D78" s="15">
        <v>2017</v>
      </c>
      <c r="E78" s="15" t="s">
        <v>63</v>
      </c>
      <c r="F78" s="15" t="s">
        <v>64</v>
      </c>
      <c r="G78" s="15"/>
      <c r="H78" s="15" t="s">
        <v>171</v>
      </c>
      <c r="I78" s="17">
        <v>70403</v>
      </c>
      <c r="J78" s="15" t="b">
        <v>0</v>
      </c>
      <c r="K78" s="15" t="s">
        <v>36</v>
      </c>
      <c r="L78" s="15" t="s">
        <v>30</v>
      </c>
      <c r="M78" s="15">
        <v>300</v>
      </c>
      <c r="N78" s="15">
        <v>3.7</v>
      </c>
      <c r="O78" s="15" t="s">
        <v>58</v>
      </c>
      <c r="P78" s="15">
        <v>22</v>
      </c>
      <c r="Q78" s="15" t="s">
        <v>16</v>
      </c>
      <c r="R78" s="15" t="s">
        <v>25</v>
      </c>
      <c r="S78" s="15" t="b">
        <v>1</v>
      </c>
      <c r="T78" s="15">
        <v>3</v>
      </c>
      <c r="U78" s="15" t="s">
        <v>17</v>
      </c>
      <c r="V78" s="15" t="s">
        <v>17</v>
      </c>
      <c r="W78">
        <f t="shared" si="2"/>
        <v>4</v>
      </c>
      <c r="X78" t="s">
        <v>335</v>
      </c>
    </row>
    <row r="79" spans="1:24" x14ac:dyDescent="0.3">
      <c r="A79" s="14">
        <v>44489</v>
      </c>
      <c r="B79" s="15" t="s">
        <v>167</v>
      </c>
      <c r="C79" s="16">
        <v>7299</v>
      </c>
      <c r="D79" s="15">
        <v>2011</v>
      </c>
      <c r="E79" s="15" t="s">
        <v>168</v>
      </c>
      <c r="F79" s="15" t="s">
        <v>169</v>
      </c>
      <c r="G79" s="15" t="s">
        <v>170</v>
      </c>
      <c r="H79" s="15" t="s">
        <v>171</v>
      </c>
      <c r="I79" s="15">
        <v>92583</v>
      </c>
      <c r="J79" s="15" t="b">
        <v>0</v>
      </c>
      <c r="K79" s="15" t="s">
        <v>8</v>
      </c>
      <c r="L79" s="15" t="s">
        <v>30</v>
      </c>
      <c r="M79" s="15">
        <v>140</v>
      </c>
      <c r="N79" s="15">
        <v>1.8</v>
      </c>
      <c r="O79" s="15" t="s">
        <v>13</v>
      </c>
      <c r="P79" s="15">
        <v>30</v>
      </c>
      <c r="Q79" s="15" t="s">
        <v>16</v>
      </c>
      <c r="R79" s="15" t="s">
        <v>17</v>
      </c>
      <c r="S79" s="15" t="b">
        <v>0</v>
      </c>
      <c r="T79" s="15">
        <v>4</v>
      </c>
      <c r="U79" s="15" t="s">
        <v>17</v>
      </c>
      <c r="V79" s="15" t="s">
        <v>17</v>
      </c>
      <c r="W79">
        <f t="shared" si="2"/>
        <v>10</v>
      </c>
      <c r="X79" t="s">
        <v>333</v>
      </c>
    </row>
    <row r="80" spans="1:24" x14ac:dyDescent="0.3">
      <c r="A80" s="14">
        <v>44489</v>
      </c>
      <c r="B80" s="15" t="s">
        <v>172</v>
      </c>
      <c r="C80" s="16">
        <v>5495</v>
      </c>
      <c r="D80" s="15">
        <v>2011</v>
      </c>
      <c r="E80" s="15" t="s">
        <v>168</v>
      </c>
      <c r="F80" s="15" t="s">
        <v>169</v>
      </c>
      <c r="G80" s="15" t="s">
        <v>173</v>
      </c>
      <c r="H80" s="15" t="s">
        <v>171</v>
      </c>
      <c r="I80" s="15">
        <v>149812</v>
      </c>
      <c r="J80" s="15" t="b">
        <v>0</v>
      </c>
      <c r="K80" s="15" t="s">
        <v>8</v>
      </c>
      <c r="L80" s="15" t="s">
        <v>30</v>
      </c>
      <c r="M80" s="15">
        <v>140</v>
      </c>
      <c r="N80" s="15">
        <v>1.8</v>
      </c>
      <c r="O80" s="15" t="s">
        <v>13</v>
      </c>
      <c r="P80" s="15">
        <v>30</v>
      </c>
      <c r="Q80" s="15" t="s">
        <v>16</v>
      </c>
      <c r="R80" s="15" t="s">
        <v>25</v>
      </c>
      <c r="S80" s="15" t="b">
        <v>1</v>
      </c>
      <c r="T80" s="15">
        <v>4</v>
      </c>
      <c r="U80" s="15" t="s">
        <v>17</v>
      </c>
      <c r="V80" s="15" t="s">
        <v>17</v>
      </c>
      <c r="W80">
        <f t="shared" si="2"/>
        <v>10</v>
      </c>
      <c r="X80" t="s">
        <v>333</v>
      </c>
    </row>
    <row r="81" spans="1:24" x14ac:dyDescent="0.3">
      <c r="A81" s="14">
        <v>44489</v>
      </c>
      <c r="B81" s="15" t="s">
        <v>194</v>
      </c>
      <c r="C81" s="16">
        <v>4994</v>
      </c>
      <c r="D81" s="15">
        <v>2008</v>
      </c>
      <c r="E81" s="15" t="s">
        <v>168</v>
      </c>
      <c r="F81" s="15" t="s">
        <v>195</v>
      </c>
      <c r="G81" s="15"/>
      <c r="H81" s="15" t="s">
        <v>171</v>
      </c>
      <c r="I81" s="17">
        <v>203339</v>
      </c>
      <c r="J81" s="15" t="b">
        <v>0</v>
      </c>
      <c r="K81" s="15" t="s">
        <v>8</v>
      </c>
      <c r="L81" s="15" t="s">
        <v>30</v>
      </c>
      <c r="M81" s="15">
        <v>268</v>
      </c>
      <c r="N81" s="15">
        <v>3.5</v>
      </c>
      <c r="O81" s="15" t="s">
        <v>58</v>
      </c>
      <c r="P81" s="15">
        <v>23</v>
      </c>
      <c r="Q81" s="15" t="s">
        <v>16</v>
      </c>
      <c r="R81" s="15" t="s">
        <v>17</v>
      </c>
      <c r="S81" s="15" t="b">
        <v>1</v>
      </c>
      <c r="T81" s="15">
        <v>7</v>
      </c>
      <c r="U81" s="15" t="s">
        <v>17</v>
      </c>
      <c r="V81" s="15" t="s">
        <v>17</v>
      </c>
      <c r="W81">
        <f t="shared" si="2"/>
        <v>13</v>
      </c>
      <c r="X81" t="s">
        <v>333</v>
      </c>
    </row>
    <row r="82" spans="1:24" x14ac:dyDescent="0.3">
      <c r="A82" s="14">
        <v>44489</v>
      </c>
      <c r="B82" s="15" t="s">
        <v>211</v>
      </c>
      <c r="C82" s="16">
        <v>14000</v>
      </c>
      <c r="D82" s="15">
        <v>2015</v>
      </c>
      <c r="E82" s="15" t="s">
        <v>168</v>
      </c>
      <c r="F82" s="15" t="s">
        <v>195</v>
      </c>
      <c r="G82" s="15" t="s">
        <v>212</v>
      </c>
      <c r="H82" s="15" t="s">
        <v>171</v>
      </c>
      <c r="I82" s="17">
        <v>74498</v>
      </c>
      <c r="J82" s="15" t="b">
        <v>0</v>
      </c>
      <c r="K82" s="15" t="s">
        <v>8</v>
      </c>
      <c r="L82" s="15" t="s">
        <v>30</v>
      </c>
      <c r="M82" s="15">
        <v>185</v>
      </c>
      <c r="N82" s="15">
        <v>2.4</v>
      </c>
      <c r="O82" s="15" t="s">
        <v>13</v>
      </c>
      <c r="P82" s="15">
        <v>30</v>
      </c>
      <c r="Q82" s="15" t="s">
        <v>16</v>
      </c>
      <c r="R82" s="15" t="s">
        <v>17</v>
      </c>
      <c r="S82" s="15" t="b">
        <v>1</v>
      </c>
      <c r="T82" s="15">
        <v>4</v>
      </c>
      <c r="U82" s="15" t="s">
        <v>17</v>
      </c>
      <c r="V82" s="15" t="s">
        <v>17</v>
      </c>
      <c r="W82">
        <f t="shared" si="2"/>
        <v>6</v>
      </c>
      <c r="X82" t="s">
        <v>333</v>
      </c>
    </row>
    <row r="83" spans="1:24" x14ac:dyDescent="0.3">
      <c r="A83" s="14">
        <v>44489</v>
      </c>
      <c r="B83" s="15" t="s">
        <v>217</v>
      </c>
      <c r="C83" s="16">
        <v>16850</v>
      </c>
      <c r="D83" s="15">
        <v>2015</v>
      </c>
      <c r="E83" s="15" t="s">
        <v>168</v>
      </c>
      <c r="F83" s="15" t="s">
        <v>169</v>
      </c>
      <c r="G83" s="15" t="s">
        <v>218</v>
      </c>
      <c r="H83" s="15" t="s">
        <v>171</v>
      </c>
      <c r="I83" s="17">
        <v>95740</v>
      </c>
      <c r="J83" s="15" t="b">
        <v>1</v>
      </c>
      <c r="K83" s="15" t="s">
        <v>8</v>
      </c>
      <c r="L83" s="15" t="s">
        <v>30</v>
      </c>
      <c r="M83" s="15">
        <v>205</v>
      </c>
      <c r="N83" s="15">
        <v>2.4</v>
      </c>
      <c r="O83" s="15" t="s">
        <v>13</v>
      </c>
      <c r="P83" s="15">
        <v>26</v>
      </c>
      <c r="Q83" s="15" t="s">
        <v>16</v>
      </c>
      <c r="R83" s="15" t="s">
        <v>17</v>
      </c>
      <c r="S83" s="15" t="b">
        <v>0</v>
      </c>
      <c r="T83" s="15">
        <v>2</v>
      </c>
      <c r="U83" s="15" t="s">
        <v>17</v>
      </c>
      <c r="V83" s="15" t="s">
        <v>17</v>
      </c>
      <c r="W83">
        <f t="shared" si="2"/>
        <v>6</v>
      </c>
      <c r="X83" t="s">
        <v>333</v>
      </c>
    </row>
    <row r="84" spans="1:24" x14ac:dyDescent="0.3">
      <c r="A84" s="14">
        <v>44489</v>
      </c>
      <c r="B84" s="15" t="s">
        <v>210</v>
      </c>
      <c r="C84" s="16">
        <v>13500</v>
      </c>
      <c r="D84" s="15">
        <v>2016</v>
      </c>
      <c r="E84" s="15" t="s">
        <v>177</v>
      </c>
      <c r="F84" s="15" t="s">
        <v>178</v>
      </c>
      <c r="G84" s="15" t="s">
        <v>95</v>
      </c>
      <c r="H84" s="15" t="s">
        <v>171</v>
      </c>
      <c r="I84" s="17">
        <v>76961</v>
      </c>
      <c r="J84" s="15" t="b">
        <v>1</v>
      </c>
      <c r="K84" s="15" t="s">
        <v>8</v>
      </c>
      <c r="L84" s="15" t="s">
        <v>30</v>
      </c>
      <c r="M84" s="15">
        <v>201</v>
      </c>
      <c r="N84" s="15">
        <v>1.6</v>
      </c>
      <c r="O84" s="15" t="s">
        <v>13</v>
      </c>
      <c r="P84" s="15">
        <v>29</v>
      </c>
      <c r="Q84" s="15" t="s">
        <v>16</v>
      </c>
      <c r="R84" s="15" t="s">
        <v>17</v>
      </c>
      <c r="S84" s="15" t="b">
        <v>0</v>
      </c>
      <c r="T84" s="15">
        <v>1</v>
      </c>
      <c r="U84" s="15" t="s">
        <v>17</v>
      </c>
      <c r="V84" s="15" t="s">
        <v>17</v>
      </c>
      <c r="W84">
        <f t="shared" si="2"/>
        <v>5</v>
      </c>
      <c r="X84" t="s">
        <v>537</v>
      </c>
    </row>
    <row r="85" spans="1:24" x14ac:dyDescent="0.3">
      <c r="A85" s="14">
        <v>44489</v>
      </c>
      <c r="B85" s="15" t="s">
        <v>197</v>
      </c>
      <c r="C85" s="16">
        <v>6800</v>
      </c>
      <c r="D85" s="15">
        <v>2008</v>
      </c>
      <c r="E85" s="15" t="s">
        <v>60</v>
      </c>
      <c r="F85" s="15" t="s">
        <v>61</v>
      </c>
      <c r="G85" s="15" t="s">
        <v>198</v>
      </c>
      <c r="H85" s="15" t="s">
        <v>171</v>
      </c>
      <c r="I85" s="17">
        <v>171248</v>
      </c>
      <c r="J85" s="15" t="b">
        <v>1</v>
      </c>
      <c r="K85" s="15" t="s">
        <v>36</v>
      </c>
      <c r="L85" s="15" t="s">
        <v>30</v>
      </c>
      <c r="M85" s="15">
        <v>330</v>
      </c>
      <c r="N85" s="15">
        <v>3.7</v>
      </c>
      <c r="O85" s="15" t="s">
        <v>58</v>
      </c>
      <c r="P85" s="15">
        <v>21</v>
      </c>
      <c r="Q85" s="15" t="s">
        <v>16</v>
      </c>
      <c r="R85" s="15" t="s">
        <v>17</v>
      </c>
      <c r="S85" s="15" t="b">
        <v>0</v>
      </c>
      <c r="T85" s="15">
        <v>4</v>
      </c>
      <c r="U85" s="15" t="s">
        <v>17</v>
      </c>
      <c r="V85" s="15" t="s">
        <v>17</v>
      </c>
      <c r="W85">
        <f t="shared" si="2"/>
        <v>13</v>
      </c>
      <c r="X85" t="s">
        <v>333</v>
      </c>
    </row>
    <row r="86" spans="1:24" x14ac:dyDescent="0.3">
      <c r="A86" s="14">
        <v>44489</v>
      </c>
      <c r="B86" s="15" t="s">
        <v>199</v>
      </c>
      <c r="C86" s="16">
        <v>6450</v>
      </c>
      <c r="D86" s="15">
        <v>2004</v>
      </c>
      <c r="E86" s="15" t="s">
        <v>60</v>
      </c>
      <c r="F86" s="15" t="s">
        <v>200</v>
      </c>
      <c r="G86" s="15"/>
      <c r="H86" s="15" t="s">
        <v>171</v>
      </c>
      <c r="I86" s="17">
        <v>139263</v>
      </c>
      <c r="J86" s="15" t="b">
        <v>0</v>
      </c>
      <c r="K86" s="15" t="s">
        <v>36</v>
      </c>
      <c r="L86" s="15" t="s">
        <v>30</v>
      </c>
      <c r="M86" s="15">
        <v>280</v>
      </c>
      <c r="N86" s="15">
        <v>3.5</v>
      </c>
      <c r="O86" s="15" t="s">
        <v>58</v>
      </c>
      <c r="P86" s="15">
        <v>19</v>
      </c>
      <c r="Q86" s="15" t="s">
        <v>16</v>
      </c>
      <c r="R86" s="15" t="s">
        <v>17</v>
      </c>
      <c r="S86" s="15" t="b">
        <v>0</v>
      </c>
      <c r="T86" s="15">
        <v>3</v>
      </c>
      <c r="U86" s="15" t="s">
        <v>17</v>
      </c>
      <c r="V86" s="15" t="s">
        <v>17</v>
      </c>
      <c r="W86">
        <f t="shared" si="2"/>
        <v>17</v>
      </c>
      <c r="X86" t="s">
        <v>333</v>
      </c>
    </row>
    <row r="87" spans="1:24" x14ac:dyDescent="0.3">
      <c r="A87" s="14">
        <v>44489</v>
      </c>
      <c r="B87" s="15" t="s">
        <v>224</v>
      </c>
      <c r="C87" s="16">
        <v>16900</v>
      </c>
      <c r="D87" s="15">
        <v>2014</v>
      </c>
      <c r="E87" s="15" t="s">
        <v>60</v>
      </c>
      <c r="F87" s="15" t="s">
        <v>225</v>
      </c>
      <c r="G87" s="15" t="s">
        <v>226</v>
      </c>
      <c r="H87" s="15" t="s">
        <v>171</v>
      </c>
      <c r="I87" s="17">
        <v>57125</v>
      </c>
      <c r="J87" s="15" t="b">
        <v>0</v>
      </c>
      <c r="K87" s="15" t="s">
        <v>36</v>
      </c>
      <c r="L87" s="15" t="s">
        <v>30</v>
      </c>
      <c r="M87" s="15">
        <v>330</v>
      </c>
      <c r="N87" s="15">
        <v>3.7</v>
      </c>
      <c r="O87" s="15" t="s">
        <v>58</v>
      </c>
      <c r="P87" s="15">
        <v>23</v>
      </c>
      <c r="Q87" s="15" t="s">
        <v>16</v>
      </c>
      <c r="R87" s="15" t="s">
        <v>25</v>
      </c>
      <c r="S87" s="15" t="b">
        <v>1</v>
      </c>
      <c r="T87" s="15">
        <v>3</v>
      </c>
      <c r="U87" s="15" t="s">
        <v>17</v>
      </c>
      <c r="V87" s="15" t="s">
        <v>17</v>
      </c>
      <c r="W87">
        <f t="shared" si="2"/>
        <v>7</v>
      </c>
      <c r="X87" t="s">
        <v>333</v>
      </c>
    </row>
    <row r="88" spans="1:24" x14ac:dyDescent="0.3">
      <c r="A88" s="14">
        <v>44489</v>
      </c>
      <c r="B88" s="15" t="s">
        <v>234</v>
      </c>
      <c r="C88" s="16">
        <v>18995</v>
      </c>
      <c r="D88" s="15">
        <v>2010</v>
      </c>
      <c r="E88" s="15" t="s">
        <v>128</v>
      </c>
      <c r="F88" s="15" t="s">
        <v>129</v>
      </c>
      <c r="G88" s="15" t="s">
        <v>162</v>
      </c>
      <c r="H88" s="15" t="s">
        <v>171</v>
      </c>
      <c r="I88" s="17">
        <v>61023</v>
      </c>
      <c r="J88" s="15" t="b">
        <v>0</v>
      </c>
      <c r="K88" s="15" t="s">
        <v>36</v>
      </c>
      <c r="L88" s="15" t="s">
        <v>30</v>
      </c>
      <c r="M88" s="15">
        <v>385</v>
      </c>
      <c r="N88" s="15">
        <v>5</v>
      </c>
      <c r="O88" s="15" t="s">
        <v>74</v>
      </c>
      <c r="P88" s="15">
        <v>20</v>
      </c>
      <c r="Q88" s="15" t="s">
        <v>16</v>
      </c>
      <c r="R88" s="15" t="s">
        <v>17</v>
      </c>
      <c r="S88" s="15" t="b">
        <v>0</v>
      </c>
      <c r="T88" s="15">
        <v>2</v>
      </c>
      <c r="U88" s="15" t="s">
        <v>17</v>
      </c>
      <c r="V88" s="15" t="s">
        <v>17</v>
      </c>
      <c r="W88">
        <f t="shared" si="2"/>
        <v>11</v>
      </c>
      <c r="X88" t="s">
        <v>337</v>
      </c>
    </row>
    <row r="89" spans="1:24" x14ac:dyDescent="0.3">
      <c r="A89" s="14">
        <v>44489</v>
      </c>
      <c r="B89" s="15" t="s">
        <v>249</v>
      </c>
      <c r="C89" s="16">
        <v>16995</v>
      </c>
      <c r="D89" s="15">
        <v>2000</v>
      </c>
      <c r="E89" s="15" t="s">
        <v>107</v>
      </c>
      <c r="F89" s="15" t="s">
        <v>250</v>
      </c>
      <c r="G89" s="15"/>
      <c r="H89" s="15" t="s">
        <v>171</v>
      </c>
      <c r="I89" s="17">
        <v>99812</v>
      </c>
      <c r="J89" s="15" t="b">
        <v>0</v>
      </c>
      <c r="K89" s="15" t="s">
        <v>36</v>
      </c>
      <c r="L89" s="15" t="s">
        <v>30</v>
      </c>
      <c r="M89" s="15">
        <v>290</v>
      </c>
      <c r="N89" s="15">
        <v>4</v>
      </c>
      <c r="O89" s="15" t="s">
        <v>74</v>
      </c>
      <c r="P89" s="15">
        <v>19</v>
      </c>
      <c r="Q89" s="15" t="s">
        <v>16</v>
      </c>
      <c r="R89" s="15" t="s">
        <v>17</v>
      </c>
      <c r="S89" s="15" t="b">
        <v>0</v>
      </c>
      <c r="T89" s="15">
        <v>4</v>
      </c>
      <c r="U89" s="15" t="s">
        <v>17</v>
      </c>
      <c r="V89" s="15" t="s">
        <v>17</v>
      </c>
      <c r="W89">
        <f t="shared" si="2"/>
        <v>21</v>
      </c>
      <c r="X89" t="s">
        <v>333</v>
      </c>
    </row>
    <row r="90" spans="1:24" x14ac:dyDescent="0.3">
      <c r="A90" s="14">
        <v>44489</v>
      </c>
      <c r="B90" s="15" t="s">
        <v>251</v>
      </c>
      <c r="C90" s="16">
        <v>27991</v>
      </c>
      <c r="D90" s="15">
        <v>2010</v>
      </c>
      <c r="E90" s="15" t="s">
        <v>252</v>
      </c>
      <c r="F90" s="15" t="s">
        <v>253</v>
      </c>
      <c r="G90" s="15" t="s">
        <v>29</v>
      </c>
      <c r="H90" s="15" t="s">
        <v>171</v>
      </c>
      <c r="I90" s="17">
        <v>79116</v>
      </c>
      <c r="J90" s="15" t="b">
        <v>0</v>
      </c>
      <c r="K90" s="15" t="s">
        <v>36</v>
      </c>
      <c r="L90" s="15" t="s">
        <v>30</v>
      </c>
      <c r="M90" s="15">
        <v>433</v>
      </c>
      <c r="N90" s="15">
        <v>4.7</v>
      </c>
      <c r="O90" s="15" t="s">
        <v>74</v>
      </c>
      <c r="P90" s="15">
        <v>15</v>
      </c>
      <c r="Q90" s="15" t="s">
        <v>16</v>
      </c>
      <c r="R90" s="15" t="s">
        <v>17</v>
      </c>
      <c r="S90" s="15" t="b">
        <v>0</v>
      </c>
      <c r="T90" s="15">
        <v>2</v>
      </c>
      <c r="U90" s="15" t="s">
        <v>17</v>
      </c>
      <c r="V90" s="15" t="s">
        <v>17</v>
      </c>
      <c r="W90">
        <f t="shared" si="2"/>
        <v>11</v>
      </c>
      <c r="X90" t="s">
        <v>336</v>
      </c>
    </row>
    <row r="91" spans="1:24" x14ac:dyDescent="0.3">
      <c r="A91" s="14">
        <v>44489</v>
      </c>
      <c r="B91" s="15" t="s">
        <v>191</v>
      </c>
      <c r="C91" s="16">
        <v>5888</v>
      </c>
      <c r="D91" s="15">
        <v>2003</v>
      </c>
      <c r="E91" s="15" t="s">
        <v>44</v>
      </c>
      <c r="F91" s="15" t="s">
        <v>192</v>
      </c>
      <c r="G91" s="15" t="s">
        <v>193</v>
      </c>
      <c r="H91" s="15" t="s">
        <v>171</v>
      </c>
      <c r="I91" s="17">
        <v>40866</v>
      </c>
      <c r="J91" s="15" t="b">
        <v>0</v>
      </c>
      <c r="K91" s="15" t="s">
        <v>36</v>
      </c>
      <c r="L91" s="15" t="s">
        <v>30</v>
      </c>
      <c r="M91" s="15">
        <v>215</v>
      </c>
      <c r="N91" s="15">
        <v>3.2</v>
      </c>
      <c r="O91" s="15" t="s">
        <v>58</v>
      </c>
      <c r="P91" s="15">
        <v>20</v>
      </c>
      <c r="Q91" s="15" t="s">
        <v>16</v>
      </c>
      <c r="R91" s="15" t="s">
        <v>17</v>
      </c>
      <c r="S91" s="15" t="b">
        <v>0</v>
      </c>
      <c r="T91" s="15">
        <v>1</v>
      </c>
      <c r="U91" s="15" t="s">
        <v>17</v>
      </c>
      <c r="V91" s="15" t="s">
        <v>17</v>
      </c>
      <c r="W91">
        <f t="shared" si="2"/>
        <v>18</v>
      </c>
      <c r="X91" t="s">
        <v>334</v>
      </c>
    </row>
    <row r="92" spans="1:24" x14ac:dyDescent="0.3">
      <c r="A92" s="14">
        <v>44489</v>
      </c>
      <c r="B92" s="15" t="s">
        <v>213</v>
      </c>
      <c r="C92" s="16">
        <v>14300</v>
      </c>
      <c r="D92" s="15">
        <v>2013</v>
      </c>
      <c r="E92" s="15" t="s">
        <v>44</v>
      </c>
      <c r="F92" s="15" t="s">
        <v>214</v>
      </c>
      <c r="G92" s="15" t="s">
        <v>215</v>
      </c>
      <c r="H92" s="15" t="s">
        <v>171</v>
      </c>
      <c r="I92" s="17">
        <v>66555</v>
      </c>
      <c r="J92" s="15" t="b">
        <v>0</v>
      </c>
      <c r="K92" s="15" t="s">
        <v>36</v>
      </c>
      <c r="L92" s="15" t="s">
        <v>30</v>
      </c>
      <c r="M92" s="15">
        <v>201</v>
      </c>
      <c r="N92" s="15">
        <v>1.8</v>
      </c>
      <c r="O92" s="15" t="s">
        <v>13</v>
      </c>
      <c r="P92" s="15">
        <v>26</v>
      </c>
      <c r="Q92" s="15" t="s">
        <v>16</v>
      </c>
      <c r="R92" s="15" t="s">
        <v>17</v>
      </c>
      <c r="S92" s="15" t="b">
        <v>1</v>
      </c>
      <c r="T92" s="15">
        <v>6</v>
      </c>
      <c r="U92" s="15" t="s">
        <v>17</v>
      </c>
      <c r="V92" s="15" t="s">
        <v>17</v>
      </c>
      <c r="W92">
        <f t="shared" si="2"/>
        <v>8</v>
      </c>
      <c r="X92" t="s">
        <v>334</v>
      </c>
    </row>
    <row r="93" spans="1:24" x14ac:dyDescent="0.3">
      <c r="A93" s="14">
        <v>44489</v>
      </c>
      <c r="B93" s="15" t="s">
        <v>244</v>
      </c>
      <c r="C93" s="16">
        <v>14998</v>
      </c>
      <c r="D93" s="15">
        <v>2011</v>
      </c>
      <c r="E93" s="15" t="s">
        <v>44</v>
      </c>
      <c r="F93" s="15" t="s">
        <v>154</v>
      </c>
      <c r="G93" s="15" t="s">
        <v>245</v>
      </c>
      <c r="H93" s="15" t="s">
        <v>171</v>
      </c>
      <c r="I93" s="17">
        <v>98027</v>
      </c>
      <c r="J93" s="15" t="b">
        <v>0</v>
      </c>
      <c r="K93" s="15" t="s">
        <v>36</v>
      </c>
      <c r="L93" s="15" t="s">
        <v>30</v>
      </c>
      <c r="M93" s="15">
        <v>382</v>
      </c>
      <c r="N93" s="15">
        <v>5.5</v>
      </c>
      <c r="O93" s="15" t="s">
        <v>74</v>
      </c>
      <c r="P93" s="15">
        <v>19</v>
      </c>
      <c r="Q93" s="15" t="s">
        <v>16</v>
      </c>
      <c r="R93" s="15" t="s">
        <v>17</v>
      </c>
      <c r="S93" s="15" t="b">
        <v>0</v>
      </c>
      <c r="T93" s="15">
        <v>3</v>
      </c>
      <c r="U93" s="15" t="s">
        <v>17</v>
      </c>
      <c r="V93" s="15" t="s">
        <v>17</v>
      </c>
      <c r="W93">
        <f t="shared" si="2"/>
        <v>10</v>
      </c>
      <c r="X93" t="s">
        <v>334</v>
      </c>
    </row>
    <row r="94" spans="1:24" x14ac:dyDescent="0.3">
      <c r="A94" s="14">
        <v>44489</v>
      </c>
      <c r="B94" s="15" t="s">
        <v>223</v>
      </c>
      <c r="C94" s="16">
        <v>16495</v>
      </c>
      <c r="D94" s="15">
        <v>2014</v>
      </c>
      <c r="E94" s="15" t="s">
        <v>5</v>
      </c>
      <c r="F94" s="15" t="s">
        <v>110</v>
      </c>
      <c r="G94" s="15" t="s">
        <v>57</v>
      </c>
      <c r="H94" s="15" t="s">
        <v>171</v>
      </c>
      <c r="I94" s="17">
        <v>117992</v>
      </c>
      <c r="J94" s="15" t="b">
        <v>0</v>
      </c>
      <c r="K94" s="15" t="s">
        <v>36</v>
      </c>
      <c r="L94" s="15" t="s">
        <v>30</v>
      </c>
      <c r="M94" s="15">
        <v>332</v>
      </c>
      <c r="N94" s="15">
        <v>3.7</v>
      </c>
      <c r="O94" s="15" t="s">
        <v>58</v>
      </c>
      <c r="P94" s="15">
        <v>22</v>
      </c>
      <c r="Q94" s="15" t="s">
        <v>16</v>
      </c>
      <c r="R94" s="15" t="s">
        <v>17</v>
      </c>
      <c r="S94" s="15" t="b">
        <v>0</v>
      </c>
      <c r="T94" s="15">
        <v>3</v>
      </c>
      <c r="U94" s="15" t="s">
        <v>17</v>
      </c>
      <c r="V94" s="15" t="s">
        <v>17</v>
      </c>
      <c r="W94">
        <f t="shared" si="2"/>
        <v>7</v>
      </c>
      <c r="X94" t="s">
        <v>333</v>
      </c>
    </row>
    <row r="95" spans="1:24" x14ac:dyDescent="0.3">
      <c r="A95" s="14">
        <v>44489</v>
      </c>
      <c r="B95" s="15" t="s">
        <v>242</v>
      </c>
      <c r="C95" s="16">
        <v>19999</v>
      </c>
      <c r="D95" s="15">
        <v>2004</v>
      </c>
      <c r="E95" s="15" t="s">
        <v>164</v>
      </c>
      <c r="F95" s="15" t="s">
        <v>243</v>
      </c>
      <c r="G95" s="15"/>
      <c r="H95" s="15" t="s">
        <v>171</v>
      </c>
      <c r="I95" s="17">
        <v>49100</v>
      </c>
      <c r="J95" s="15" t="b">
        <v>0</v>
      </c>
      <c r="K95" s="15" t="s">
        <v>36</v>
      </c>
      <c r="L95" s="15" t="s">
        <v>30</v>
      </c>
      <c r="M95" s="15">
        <v>350</v>
      </c>
      <c r="N95" s="15">
        <v>5.7</v>
      </c>
      <c r="O95" s="15" t="s">
        <v>74</v>
      </c>
      <c r="P95" s="15">
        <v>17</v>
      </c>
      <c r="Q95" s="15" t="s">
        <v>16</v>
      </c>
      <c r="R95" s="15" t="s">
        <v>17</v>
      </c>
      <c r="S95" s="15" t="b">
        <v>0</v>
      </c>
      <c r="T95" s="15">
        <v>4</v>
      </c>
      <c r="U95" s="15" t="s">
        <v>17</v>
      </c>
      <c r="V95" s="15" t="s">
        <v>17</v>
      </c>
      <c r="W95">
        <f t="shared" si="2"/>
        <v>17</v>
      </c>
      <c r="X95" t="s">
        <v>335</v>
      </c>
    </row>
    <row r="96" spans="1:24" x14ac:dyDescent="0.3">
      <c r="A96" s="14">
        <v>44489</v>
      </c>
      <c r="B96" s="15" t="s">
        <v>174</v>
      </c>
      <c r="C96" s="16">
        <v>4900</v>
      </c>
      <c r="D96" s="15">
        <v>2008</v>
      </c>
      <c r="E96" s="15" t="s">
        <v>175</v>
      </c>
      <c r="F96" s="15" t="s">
        <v>176</v>
      </c>
      <c r="G96" s="15"/>
      <c r="H96" s="15" t="s">
        <v>171</v>
      </c>
      <c r="I96" s="17">
        <v>165200</v>
      </c>
      <c r="J96" s="15" t="b">
        <v>0</v>
      </c>
      <c r="K96" s="15" t="s">
        <v>8</v>
      </c>
      <c r="L96" s="15" t="s">
        <v>30</v>
      </c>
      <c r="M96" s="15">
        <v>161</v>
      </c>
      <c r="N96" s="15">
        <v>2.4</v>
      </c>
      <c r="O96" s="15" t="s">
        <v>13</v>
      </c>
      <c r="P96" s="15">
        <v>25</v>
      </c>
      <c r="Q96" s="15" t="s">
        <v>16</v>
      </c>
      <c r="R96" s="15" t="s">
        <v>17</v>
      </c>
      <c r="S96" s="15" t="b">
        <v>1</v>
      </c>
      <c r="T96" s="15">
        <v>3</v>
      </c>
      <c r="U96" s="15" t="s">
        <v>17</v>
      </c>
      <c r="V96" s="15" t="s">
        <v>17</v>
      </c>
      <c r="W96">
        <f t="shared" si="2"/>
        <v>13</v>
      </c>
      <c r="X96" t="s">
        <v>333</v>
      </c>
    </row>
    <row r="97" spans="1:24" x14ac:dyDescent="0.3">
      <c r="A97" s="14">
        <v>44489</v>
      </c>
      <c r="B97" s="15" t="s">
        <v>206</v>
      </c>
      <c r="C97" s="16">
        <v>17493</v>
      </c>
      <c r="D97" s="15">
        <v>2014</v>
      </c>
      <c r="E97" s="15" t="s">
        <v>175</v>
      </c>
      <c r="F97" s="15" t="s">
        <v>207</v>
      </c>
      <c r="G97" s="15" t="s">
        <v>208</v>
      </c>
      <c r="H97" s="15" t="s">
        <v>171</v>
      </c>
      <c r="I97" s="17">
        <v>84878</v>
      </c>
      <c r="J97" s="15" t="b">
        <v>1</v>
      </c>
      <c r="K97" s="15" t="s">
        <v>36</v>
      </c>
      <c r="L97" s="15" t="s">
        <v>30</v>
      </c>
      <c r="M97" s="15">
        <v>200</v>
      </c>
      <c r="N97" s="15">
        <v>2</v>
      </c>
      <c r="O97" s="15" t="s">
        <v>205</v>
      </c>
      <c r="P97" s="15">
        <v>26</v>
      </c>
      <c r="Q97" s="15" t="s">
        <v>16</v>
      </c>
      <c r="R97" s="15" t="s">
        <v>17</v>
      </c>
      <c r="S97" s="15" t="b">
        <v>1</v>
      </c>
      <c r="T97" s="15">
        <v>1</v>
      </c>
      <c r="U97" s="15" t="s">
        <v>17</v>
      </c>
      <c r="V97" s="15" t="s">
        <v>17</v>
      </c>
      <c r="W97">
        <f t="shared" si="2"/>
        <v>7</v>
      </c>
      <c r="X97" t="s">
        <v>333</v>
      </c>
    </row>
    <row r="98" spans="1:24" x14ac:dyDescent="0.3">
      <c r="A98" s="14">
        <v>44489</v>
      </c>
      <c r="B98" s="15" t="s">
        <v>179</v>
      </c>
      <c r="C98" s="16">
        <v>5777</v>
      </c>
      <c r="D98" s="15">
        <v>2001</v>
      </c>
      <c r="E98" s="15" t="s">
        <v>68</v>
      </c>
      <c r="F98" s="15" t="s">
        <v>180</v>
      </c>
      <c r="G98" s="15" t="s">
        <v>181</v>
      </c>
      <c r="H98" s="15" t="s">
        <v>171</v>
      </c>
      <c r="I98" s="17">
        <v>178000</v>
      </c>
      <c r="J98" s="15" t="b">
        <v>0</v>
      </c>
      <c r="K98" s="15" t="s">
        <v>8</v>
      </c>
      <c r="L98" s="15" t="s">
        <v>30</v>
      </c>
      <c r="M98" s="15">
        <v>140</v>
      </c>
      <c r="N98" s="15">
        <v>1.8</v>
      </c>
      <c r="O98" s="15" t="s">
        <v>13</v>
      </c>
      <c r="P98" s="15">
        <v>28</v>
      </c>
      <c r="Q98" s="15" t="s">
        <v>16</v>
      </c>
      <c r="R98" s="15" t="s">
        <v>17</v>
      </c>
      <c r="S98" s="15" t="b">
        <v>0</v>
      </c>
      <c r="T98" s="15">
        <v>2</v>
      </c>
      <c r="U98" s="15" t="s">
        <v>17</v>
      </c>
      <c r="V98" s="15" t="s">
        <v>17</v>
      </c>
      <c r="W98">
        <f t="shared" si="2"/>
        <v>20</v>
      </c>
      <c r="X98" t="s">
        <v>333</v>
      </c>
    </row>
    <row r="99" spans="1:24" x14ac:dyDescent="0.3">
      <c r="A99" s="4">
        <v>44490</v>
      </c>
      <c r="B99" t="s">
        <v>368</v>
      </c>
      <c r="C99" s="3">
        <v>6499</v>
      </c>
      <c r="D99">
        <v>2008</v>
      </c>
      <c r="E99" t="s">
        <v>20</v>
      </c>
      <c r="F99" t="s">
        <v>369</v>
      </c>
      <c r="G99" t="s">
        <v>204</v>
      </c>
      <c r="H99" t="s">
        <v>370</v>
      </c>
      <c r="I99" s="6">
        <v>121256</v>
      </c>
      <c r="J99" t="b">
        <v>0</v>
      </c>
      <c r="K99" t="s">
        <v>8</v>
      </c>
      <c r="L99" t="s">
        <v>30</v>
      </c>
      <c r="M99">
        <v>240</v>
      </c>
      <c r="N99">
        <v>4</v>
      </c>
      <c r="O99" t="s">
        <v>58</v>
      </c>
      <c r="P99">
        <v>19</v>
      </c>
      <c r="Q99" t="s">
        <v>16</v>
      </c>
      <c r="R99" t="s">
        <v>17</v>
      </c>
      <c r="S99" t="b">
        <v>0</v>
      </c>
      <c r="T99">
        <v>3</v>
      </c>
      <c r="U99" t="s">
        <v>17</v>
      </c>
      <c r="V99" t="s">
        <v>17</v>
      </c>
      <c r="W99">
        <f t="shared" si="2"/>
        <v>13</v>
      </c>
      <c r="X99" t="s">
        <v>335</v>
      </c>
    </row>
    <row r="100" spans="1:24" x14ac:dyDescent="0.3">
      <c r="A100" s="4">
        <v>44490</v>
      </c>
      <c r="B100" t="s">
        <v>371</v>
      </c>
      <c r="C100" s="3">
        <v>17400</v>
      </c>
      <c r="D100">
        <v>2018</v>
      </c>
      <c r="E100" t="s">
        <v>20</v>
      </c>
      <c r="F100" t="s">
        <v>372</v>
      </c>
      <c r="G100" t="s">
        <v>373</v>
      </c>
      <c r="H100" t="s">
        <v>370</v>
      </c>
      <c r="I100" s="6">
        <v>106759</v>
      </c>
      <c r="J100" t="b">
        <v>0</v>
      </c>
      <c r="K100" t="s">
        <v>8</v>
      </c>
      <c r="L100" t="s">
        <v>30</v>
      </c>
      <c r="M100">
        <v>287</v>
      </c>
      <c r="N100">
        <v>3.6</v>
      </c>
      <c r="O100" t="s">
        <v>58</v>
      </c>
      <c r="P100">
        <v>23</v>
      </c>
      <c r="Q100" t="s">
        <v>16</v>
      </c>
      <c r="R100" t="s">
        <v>17</v>
      </c>
      <c r="S100" t="b">
        <v>0</v>
      </c>
      <c r="T100">
        <v>1</v>
      </c>
      <c r="U100" t="s">
        <v>17</v>
      </c>
      <c r="V100" t="s">
        <v>17</v>
      </c>
      <c r="W100">
        <f t="shared" ref="W100:W109" si="3">2021-D100</f>
        <v>3</v>
      </c>
      <c r="X100" t="s">
        <v>335</v>
      </c>
    </row>
    <row r="101" spans="1:24" x14ac:dyDescent="0.3">
      <c r="A101" s="4">
        <v>44490</v>
      </c>
      <c r="B101" t="s">
        <v>375</v>
      </c>
      <c r="C101" s="3">
        <v>17495</v>
      </c>
      <c r="D101">
        <v>2014</v>
      </c>
      <c r="E101" t="s">
        <v>168</v>
      </c>
      <c r="F101" t="s">
        <v>374</v>
      </c>
      <c r="G101" t="s">
        <v>57</v>
      </c>
      <c r="H101" t="s">
        <v>370</v>
      </c>
      <c r="I101" s="6">
        <v>135863</v>
      </c>
      <c r="J101" t="b">
        <v>0</v>
      </c>
      <c r="K101" t="s">
        <v>8</v>
      </c>
      <c r="L101" t="s">
        <v>30</v>
      </c>
      <c r="M101">
        <v>248</v>
      </c>
      <c r="N101">
        <v>3.5</v>
      </c>
      <c r="O101" t="s">
        <v>58</v>
      </c>
      <c r="P101">
        <v>23</v>
      </c>
      <c r="Q101" t="s">
        <v>16</v>
      </c>
      <c r="R101" t="s">
        <v>17</v>
      </c>
      <c r="S101" t="b">
        <v>1</v>
      </c>
      <c r="T101">
        <v>1</v>
      </c>
      <c r="U101" t="s">
        <v>17</v>
      </c>
      <c r="V101" t="s">
        <v>17</v>
      </c>
      <c r="W101">
        <f t="shared" si="3"/>
        <v>7</v>
      </c>
      <c r="X101" t="s">
        <v>333</v>
      </c>
    </row>
    <row r="102" spans="1:24" x14ac:dyDescent="0.3">
      <c r="A102" s="4">
        <v>44490</v>
      </c>
      <c r="B102" t="s">
        <v>376</v>
      </c>
      <c r="C102" s="3">
        <v>9995</v>
      </c>
      <c r="D102">
        <v>2012</v>
      </c>
      <c r="E102" t="s">
        <v>92</v>
      </c>
      <c r="F102" t="s">
        <v>377</v>
      </c>
      <c r="G102" t="s">
        <v>141</v>
      </c>
      <c r="H102" t="s">
        <v>370</v>
      </c>
      <c r="I102" s="6">
        <v>98108</v>
      </c>
      <c r="J102" t="b">
        <v>0</v>
      </c>
      <c r="K102" t="s">
        <v>8</v>
      </c>
      <c r="L102" t="s">
        <v>30</v>
      </c>
      <c r="M102">
        <v>157</v>
      </c>
      <c r="N102">
        <v>2.5</v>
      </c>
      <c r="O102" t="s">
        <v>13</v>
      </c>
      <c r="P102">
        <v>24</v>
      </c>
      <c r="Q102" t="s">
        <v>16</v>
      </c>
      <c r="R102" t="s">
        <v>17</v>
      </c>
      <c r="S102" t="b">
        <v>1</v>
      </c>
      <c r="T102">
        <v>2</v>
      </c>
      <c r="U102" t="s">
        <v>17</v>
      </c>
      <c r="V102" t="s">
        <v>17</v>
      </c>
      <c r="W102">
        <f t="shared" si="3"/>
        <v>9</v>
      </c>
      <c r="X102" t="s">
        <v>333</v>
      </c>
    </row>
    <row r="103" spans="1:24" x14ac:dyDescent="0.3">
      <c r="A103" s="4">
        <v>44490</v>
      </c>
      <c r="B103" t="s">
        <v>378</v>
      </c>
      <c r="C103" s="3">
        <v>6000</v>
      </c>
      <c r="D103">
        <v>2010</v>
      </c>
      <c r="E103" t="s">
        <v>94</v>
      </c>
      <c r="F103" t="s">
        <v>379</v>
      </c>
      <c r="G103" t="s">
        <v>294</v>
      </c>
      <c r="H103" t="s">
        <v>370</v>
      </c>
      <c r="I103" s="6">
        <v>152500</v>
      </c>
      <c r="J103" t="b">
        <v>0</v>
      </c>
      <c r="K103" t="s">
        <v>8</v>
      </c>
      <c r="L103" t="s">
        <v>30</v>
      </c>
      <c r="M103">
        <v>197</v>
      </c>
      <c r="N103">
        <v>3.8</v>
      </c>
      <c r="O103" t="s">
        <v>58</v>
      </c>
      <c r="P103">
        <v>19</v>
      </c>
      <c r="Q103" t="s">
        <v>16</v>
      </c>
      <c r="R103" t="s">
        <v>17</v>
      </c>
      <c r="S103" t="b">
        <v>1</v>
      </c>
      <c r="T103">
        <v>4</v>
      </c>
      <c r="U103" t="s">
        <v>17</v>
      </c>
      <c r="V103" t="s">
        <v>17</v>
      </c>
      <c r="W103">
        <f t="shared" si="3"/>
        <v>11</v>
      </c>
      <c r="X103" t="s">
        <v>334</v>
      </c>
    </row>
    <row r="104" spans="1:24" x14ac:dyDescent="0.3">
      <c r="A104" s="4">
        <v>44490</v>
      </c>
      <c r="B104" t="s">
        <v>380</v>
      </c>
      <c r="C104" s="3">
        <v>4495</v>
      </c>
      <c r="D104">
        <v>2005</v>
      </c>
      <c r="E104" t="s">
        <v>92</v>
      </c>
      <c r="F104" t="s">
        <v>381</v>
      </c>
      <c r="G104" t="s">
        <v>170</v>
      </c>
      <c r="H104" t="s">
        <v>370</v>
      </c>
      <c r="I104" s="6">
        <v>157888</v>
      </c>
      <c r="J104" t="b">
        <v>0</v>
      </c>
      <c r="K104" t="s">
        <v>8</v>
      </c>
      <c r="L104" t="s">
        <v>30</v>
      </c>
      <c r="M104">
        <v>200</v>
      </c>
      <c r="N104">
        <v>3</v>
      </c>
      <c r="O104" t="s">
        <v>58</v>
      </c>
      <c r="P104">
        <v>19</v>
      </c>
      <c r="Q104" t="s">
        <v>16</v>
      </c>
      <c r="R104" t="s">
        <v>17</v>
      </c>
      <c r="S104" t="b">
        <v>0</v>
      </c>
      <c r="T104">
        <v>3</v>
      </c>
      <c r="U104" t="s">
        <v>17</v>
      </c>
      <c r="V104" t="s">
        <v>17</v>
      </c>
      <c r="W104">
        <f t="shared" si="3"/>
        <v>16</v>
      </c>
      <c r="X104" t="s">
        <v>333</v>
      </c>
    </row>
    <row r="105" spans="1:24" x14ac:dyDescent="0.3">
      <c r="A105" s="4">
        <v>44490</v>
      </c>
      <c r="B105" t="s">
        <v>382</v>
      </c>
      <c r="C105" s="3">
        <v>7495</v>
      </c>
      <c r="D105">
        <v>2010</v>
      </c>
      <c r="E105" t="s">
        <v>228</v>
      </c>
      <c r="F105" t="s">
        <v>383</v>
      </c>
      <c r="G105" t="s">
        <v>384</v>
      </c>
      <c r="H105" t="s">
        <v>370</v>
      </c>
      <c r="I105" s="6">
        <v>114152</v>
      </c>
      <c r="J105" t="b">
        <v>0</v>
      </c>
      <c r="K105" t="s">
        <v>8</v>
      </c>
      <c r="L105" t="s">
        <v>30</v>
      </c>
      <c r="M105">
        <v>251</v>
      </c>
      <c r="N105">
        <v>4</v>
      </c>
      <c r="O105" t="s">
        <v>58</v>
      </c>
      <c r="P105">
        <v>21</v>
      </c>
      <c r="Q105" t="s">
        <v>16</v>
      </c>
      <c r="R105" t="s">
        <v>25</v>
      </c>
      <c r="S105" t="b">
        <v>1</v>
      </c>
      <c r="T105">
        <v>1</v>
      </c>
      <c r="U105" t="s">
        <v>17</v>
      </c>
      <c r="V105" t="s">
        <v>17</v>
      </c>
      <c r="W105">
        <f t="shared" si="3"/>
        <v>11</v>
      </c>
      <c r="X105" t="s">
        <v>335</v>
      </c>
    </row>
    <row r="106" spans="1:24" x14ac:dyDescent="0.3">
      <c r="A106" s="4">
        <v>44490</v>
      </c>
      <c r="B106" t="s">
        <v>385</v>
      </c>
      <c r="C106" s="3">
        <v>7495</v>
      </c>
      <c r="D106">
        <v>2007</v>
      </c>
      <c r="E106" t="s">
        <v>76</v>
      </c>
      <c r="F106" t="s">
        <v>386</v>
      </c>
      <c r="G106" t="s">
        <v>387</v>
      </c>
      <c r="H106" t="s">
        <v>370</v>
      </c>
      <c r="I106" s="6">
        <v>111561</v>
      </c>
      <c r="J106" t="b">
        <v>0</v>
      </c>
      <c r="K106" t="s">
        <v>8</v>
      </c>
      <c r="L106" t="s">
        <v>30</v>
      </c>
      <c r="M106">
        <v>240</v>
      </c>
      <c r="N106">
        <v>3.9</v>
      </c>
      <c r="O106" t="s">
        <v>58</v>
      </c>
      <c r="P106">
        <v>19</v>
      </c>
      <c r="Q106" t="s">
        <v>16</v>
      </c>
      <c r="R106" t="s">
        <v>17</v>
      </c>
      <c r="S106" t="b">
        <v>0</v>
      </c>
      <c r="T106">
        <v>4</v>
      </c>
      <c r="U106" t="s">
        <v>25</v>
      </c>
      <c r="V106" t="s">
        <v>17</v>
      </c>
      <c r="W106">
        <f t="shared" si="3"/>
        <v>14</v>
      </c>
      <c r="X106" t="s">
        <v>335</v>
      </c>
    </row>
    <row r="107" spans="1:24" x14ac:dyDescent="0.3">
      <c r="A107" s="4">
        <v>44490</v>
      </c>
      <c r="B107" t="s">
        <v>388</v>
      </c>
      <c r="C107" s="3">
        <v>13000</v>
      </c>
      <c r="D107">
        <v>2013</v>
      </c>
      <c r="E107" t="s">
        <v>168</v>
      </c>
      <c r="F107" t="s">
        <v>374</v>
      </c>
      <c r="G107" t="s">
        <v>287</v>
      </c>
      <c r="H107" t="s">
        <v>370</v>
      </c>
      <c r="I107" s="6">
        <v>203497</v>
      </c>
      <c r="J107" t="b">
        <v>0</v>
      </c>
      <c r="K107" t="s">
        <v>8</v>
      </c>
      <c r="L107" t="s">
        <v>30</v>
      </c>
      <c r="M107">
        <v>248</v>
      </c>
      <c r="N107">
        <v>3.5</v>
      </c>
      <c r="O107" t="s">
        <v>58</v>
      </c>
      <c r="P107">
        <v>22</v>
      </c>
      <c r="Q107" t="s">
        <v>16</v>
      </c>
      <c r="R107" t="s">
        <v>17</v>
      </c>
      <c r="S107" t="b">
        <v>1</v>
      </c>
      <c r="T107">
        <v>2</v>
      </c>
      <c r="U107" t="s">
        <v>17</v>
      </c>
      <c r="V107" t="s">
        <v>25</v>
      </c>
      <c r="W107">
        <f t="shared" si="3"/>
        <v>8</v>
      </c>
      <c r="X107" t="s">
        <v>333</v>
      </c>
    </row>
    <row r="108" spans="1:24" x14ac:dyDescent="0.3">
      <c r="A108" s="4">
        <v>44490</v>
      </c>
      <c r="B108" t="s">
        <v>389</v>
      </c>
      <c r="C108" s="3">
        <v>12000</v>
      </c>
      <c r="D108">
        <v>2012</v>
      </c>
      <c r="E108" t="s">
        <v>168</v>
      </c>
      <c r="F108" t="s">
        <v>374</v>
      </c>
      <c r="G108" t="s">
        <v>287</v>
      </c>
      <c r="H108" t="s">
        <v>370</v>
      </c>
      <c r="I108" s="6">
        <v>810333</v>
      </c>
      <c r="J108" t="b">
        <v>0</v>
      </c>
      <c r="K108" t="s">
        <v>8</v>
      </c>
      <c r="L108" t="s">
        <v>30</v>
      </c>
      <c r="M108">
        <v>248</v>
      </c>
      <c r="N108">
        <v>3.5</v>
      </c>
      <c r="O108" t="s">
        <v>58</v>
      </c>
      <c r="P108">
        <v>22</v>
      </c>
      <c r="Q108" t="s">
        <v>16</v>
      </c>
      <c r="R108" t="s">
        <v>17</v>
      </c>
      <c r="S108" t="b">
        <v>1</v>
      </c>
      <c r="T108">
        <v>3</v>
      </c>
      <c r="U108" t="s">
        <v>17</v>
      </c>
      <c r="V108" t="s">
        <v>17</v>
      </c>
      <c r="W108">
        <f t="shared" si="3"/>
        <v>9</v>
      </c>
      <c r="X108" t="s">
        <v>333</v>
      </c>
    </row>
    <row r="109" spans="1:24" x14ac:dyDescent="0.3">
      <c r="A109" s="4">
        <v>44490</v>
      </c>
      <c r="B109" t="s">
        <v>390</v>
      </c>
      <c r="C109" s="3">
        <v>19999</v>
      </c>
      <c r="D109">
        <v>2015</v>
      </c>
      <c r="E109" t="s">
        <v>68</v>
      </c>
      <c r="F109" t="s">
        <v>391</v>
      </c>
      <c r="G109" t="s">
        <v>392</v>
      </c>
      <c r="H109" t="s">
        <v>370</v>
      </c>
      <c r="I109" s="6">
        <v>75120</v>
      </c>
      <c r="J109" t="b">
        <v>0</v>
      </c>
      <c r="K109" t="s">
        <v>8</v>
      </c>
      <c r="L109" t="s">
        <v>30</v>
      </c>
      <c r="M109">
        <v>266</v>
      </c>
      <c r="N109">
        <v>3.5</v>
      </c>
      <c r="O109" t="s">
        <v>58</v>
      </c>
      <c r="P109">
        <v>21</v>
      </c>
      <c r="Q109" t="s">
        <v>16</v>
      </c>
      <c r="R109" t="s">
        <v>17</v>
      </c>
      <c r="S109" t="b">
        <v>1</v>
      </c>
      <c r="T109">
        <v>1</v>
      </c>
      <c r="U109" t="s">
        <v>17</v>
      </c>
      <c r="V109" t="s">
        <v>17</v>
      </c>
      <c r="W109">
        <f t="shared" si="3"/>
        <v>6</v>
      </c>
      <c r="X109" t="s">
        <v>333</v>
      </c>
    </row>
    <row r="110" spans="1:24" x14ac:dyDescent="0.3">
      <c r="A110" s="4">
        <v>44490</v>
      </c>
      <c r="B110" t="s">
        <v>338</v>
      </c>
      <c r="C110" s="3">
        <v>7995</v>
      </c>
      <c r="D110">
        <v>2011</v>
      </c>
      <c r="E110" t="s">
        <v>76</v>
      </c>
      <c r="F110" t="s">
        <v>339</v>
      </c>
      <c r="G110" t="s">
        <v>340</v>
      </c>
      <c r="H110" t="s">
        <v>341</v>
      </c>
      <c r="I110" s="6">
        <v>154543</v>
      </c>
      <c r="J110" t="b">
        <v>0</v>
      </c>
      <c r="K110" t="s">
        <v>314</v>
      </c>
      <c r="L110" t="s">
        <v>30</v>
      </c>
      <c r="M110">
        <v>195</v>
      </c>
      <c r="N110">
        <v>4.3</v>
      </c>
      <c r="O110" t="s">
        <v>58</v>
      </c>
      <c r="P110">
        <v>17</v>
      </c>
      <c r="Q110" t="s">
        <v>16</v>
      </c>
      <c r="R110" t="s">
        <v>17</v>
      </c>
      <c r="S110" t="b">
        <v>0</v>
      </c>
      <c r="T110">
        <v>1</v>
      </c>
      <c r="U110" t="s">
        <v>17</v>
      </c>
      <c r="V110" t="s">
        <v>17</v>
      </c>
      <c r="W110">
        <f>2021-D110</f>
        <v>10</v>
      </c>
      <c r="X110" t="s">
        <v>335</v>
      </c>
    </row>
    <row r="111" spans="1:24" x14ac:dyDescent="0.3">
      <c r="A111" s="4">
        <v>44490</v>
      </c>
      <c r="B111" t="s">
        <v>342</v>
      </c>
      <c r="C111" s="3">
        <v>9450</v>
      </c>
      <c r="D111">
        <v>2007</v>
      </c>
      <c r="E111" t="s">
        <v>68</v>
      </c>
      <c r="F111" t="s">
        <v>343</v>
      </c>
      <c r="G111" t="s">
        <v>344</v>
      </c>
      <c r="H111" t="s">
        <v>341</v>
      </c>
      <c r="I111" s="6">
        <v>156000</v>
      </c>
      <c r="J111" t="b">
        <v>0</v>
      </c>
      <c r="K111" t="s">
        <v>36</v>
      </c>
      <c r="L111" t="s">
        <v>30</v>
      </c>
      <c r="M111">
        <v>271</v>
      </c>
      <c r="N111">
        <v>4.7</v>
      </c>
      <c r="O111" t="s">
        <v>74</v>
      </c>
      <c r="P111">
        <v>15</v>
      </c>
      <c r="Q111" t="s">
        <v>16</v>
      </c>
      <c r="R111" t="s">
        <v>25</v>
      </c>
      <c r="S111" t="b">
        <v>1</v>
      </c>
      <c r="T111">
        <v>3</v>
      </c>
      <c r="U111" t="s">
        <v>17</v>
      </c>
      <c r="V111" t="s">
        <v>17</v>
      </c>
      <c r="W111">
        <f t="shared" ref="W111:W118" si="4">2021-D111</f>
        <v>14</v>
      </c>
      <c r="X111" t="s">
        <v>333</v>
      </c>
    </row>
    <row r="112" spans="1:24" x14ac:dyDescent="0.3">
      <c r="A112" s="4">
        <v>44490</v>
      </c>
      <c r="B112" t="s">
        <v>345</v>
      </c>
      <c r="C112" s="3">
        <v>8495</v>
      </c>
      <c r="D112">
        <v>2008</v>
      </c>
      <c r="E112" t="s">
        <v>228</v>
      </c>
      <c r="F112" t="s">
        <v>346</v>
      </c>
      <c r="G112" t="s">
        <v>347</v>
      </c>
      <c r="H112" t="s">
        <v>341</v>
      </c>
      <c r="I112" s="6">
        <v>151631</v>
      </c>
      <c r="J112" t="b">
        <v>0</v>
      </c>
      <c r="K112" t="s">
        <v>36</v>
      </c>
      <c r="L112" t="s">
        <v>30</v>
      </c>
      <c r="M112">
        <v>310</v>
      </c>
      <c r="N112">
        <v>4.7</v>
      </c>
      <c r="O112" t="s">
        <v>74</v>
      </c>
      <c r="P112">
        <v>15</v>
      </c>
      <c r="Q112" t="s">
        <v>16</v>
      </c>
      <c r="R112" t="s">
        <v>17</v>
      </c>
      <c r="S112" t="b">
        <v>0</v>
      </c>
      <c r="T112">
        <v>1</v>
      </c>
      <c r="U112" t="s">
        <v>17</v>
      </c>
      <c r="V112" t="s">
        <v>17</v>
      </c>
      <c r="W112">
        <f t="shared" si="4"/>
        <v>13</v>
      </c>
      <c r="X112" t="s">
        <v>335</v>
      </c>
    </row>
    <row r="113" spans="1:24" x14ac:dyDescent="0.3">
      <c r="A113" s="4">
        <v>44490</v>
      </c>
      <c r="B113" t="s">
        <v>348</v>
      </c>
      <c r="C113" s="3">
        <v>6200</v>
      </c>
      <c r="D113">
        <v>2008</v>
      </c>
      <c r="E113" t="s">
        <v>76</v>
      </c>
      <c r="F113" t="s">
        <v>349</v>
      </c>
      <c r="G113" t="s">
        <v>350</v>
      </c>
      <c r="H113" t="s">
        <v>341</v>
      </c>
      <c r="I113" s="6">
        <v>199503</v>
      </c>
      <c r="J113" t="b">
        <v>0</v>
      </c>
      <c r="K113" t="s">
        <v>314</v>
      </c>
      <c r="L113" t="s">
        <v>30</v>
      </c>
      <c r="M113">
        <v>242</v>
      </c>
      <c r="N113">
        <v>3.7</v>
      </c>
      <c r="O113" t="s">
        <v>351</v>
      </c>
      <c r="P113">
        <v>19</v>
      </c>
      <c r="Q113" t="s">
        <v>16</v>
      </c>
      <c r="R113" t="s">
        <v>17</v>
      </c>
      <c r="S113" t="b">
        <v>1</v>
      </c>
      <c r="T113">
        <v>4</v>
      </c>
      <c r="U113" t="s">
        <v>17</v>
      </c>
      <c r="V113" t="s">
        <v>17</v>
      </c>
      <c r="W113">
        <f t="shared" si="4"/>
        <v>13</v>
      </c>
      <c r="X113" t="s">
        <v>335</v>
      </c>
    </row>
    <row r="114" spans="1:24" x14ac:dyDescent="0.3">
      <c r="A114" s="4">
        <v>44490</v>
      </c>
      <c r="B114" t="s">
        <v>352</v>
      </c>
      <c r="C114" s="3">
        <v>7750</v>
      </c>
      <c r="D114">
        <v>2003</v>
      </c>
      <c r="E114" t="s">
        <v>68</v>
      </c>
      <c r="F114" t="s">
        <v>353</v>
      </c>
      <c r="G114" t="s">
        <v>354</v>
      </c>
      <c r="H114" t="s">
        <v>341</v>
      </c>
      <c r="I114" s="6">
        <v>265630</v>
      </c>
      <c r="J114" t="b">
        <v>0</v>
      </c>
      <c r="K114" t="s">
        <v>36</v>
      </c>
      <c r="L114" t="s">
        <v>30</v>
      </c>
      <c r="M114">
        <v>190</v>
      </c>
      <c r="N114">
        <v>3.4</v>
      </c>
      <c r="O114" t="s">
        <v>58</v>
      </c>
      <c r="P114">
        <v>17</v>
      </c>
      <c r="Q114" t="s">
        <v>16</v>
      </c>
      <c r="R114" t="s">
        <v>17</v>
      </c>
      <c r="S114" t="b">
        <v>0</v>
      </c>
      <c r="T114">
        <v>6</v>
      </c>
      <c r="U114" t="s">
        <v>17</v>
      </c>
      <c r="V114" t="s">
        <v>17</v>
      </c>
      <c r="W114">
        <f t="shared" si="4"/>
        <v>18</v>
      </c>
      <c r="X114" t="s">
        <v>333</v>
      </c>
    </row>
    <row r="115" spans="1:24" x14ac:dyDescent="0.3">
      <c r="A115" s="4">
        <v>44490</v>
      </c>
      <c r="B115" t="s">
        <v>355</v>
      </c>
      <c r="C115" s="3">
        <v>8999</v>
      </c>
      <c r="D115">
        <v>2005</v>
      </c>
      <c r="E115" t="s">
        <v>63</v>
      </c>
      <c r="F115" t="s">
        <v>356</v>
      </c>
      <c r="G115" t="s">
        <v>357</v>
      </c>
      <c r="H115" t="s">
        <v>341</v>
      </c>
      <c r="I115" s="6">
        <v>197594</v>
      </c>
      <c r="J115" t="b">
        <v>0</v>
      </c>
      <c r="K115" t="s">
        <v>36</v>
      </c>
      <c r="L115" t="s">
        <v>30</v>
      </c>
      <c r="M115">
        <v>300</v>
      </c>
      <c r="N115">
        <v>5.4</v>
      </c>
      <c r="O115" t="s">
        <v>74</v>
      </c>
      <c r="P115">
        <v>15</v>
      </c>
      <c r="Q115" t="s">
        <v>16</v>
      </c>
      <c r="R115" t="s">
        <v>17</v>
      </c>
      <c r="S115" t="b">
        <v>0</v>
      </c>
      <c r="T115">
        <v>5</v>
      </c>
      <c r="U115" t="s">
        <v>17</v>
      </c>
      <c r="V115" t="s">
        <v>17</v>
      </c>
      <c r="W115">
        <f t="shared" si="4"/>
        <v>16</v>
      </c>
      <c r="X115" t="s">
        <v>335</v>
      </c>
    </row>
    <row r="116" spans="1:24" x14ac:dyDescent="0.3">
      <c r="A116" s="4">
        <v>44490</v>
      </c>
      <c r="B116" t="s">
        <v>358</v>
      </c>
      <c r="C116" s="3">
        <v>7995</v>
      </c>
      <c r="D116">
        <v>2005</v>
      </c>
      <c r="E116" t="s">
        <v>5</v>
      </c>
      <c r="F116" t="s">
        <v>359</v>
      </c>
      <c r="G116" t="s">
        <v>360</v>
      </c>
      <c r="H116" t="s">
        <v>341</v>
      </c>
      <c r="I116" s="6">
        <v>220439</v>
      </c>
      <c r="J116" t="b">
        <v>0</v>
      </c>
      <c r="K116" t="s">
        <v>36</v>
      </c>
      <c r="L116" t="s">
        <v>30</v>
      </c>
      <c r="M116">
        <v>265</v>
      </c>
      <c r="N116">
        <v>4</v>
      </c>
      <c r="O116" t="s">
        <v>58</v>
      </c>
      <c r="P116">
        <v>16</v>
      </c>
      <c r="Q116" t="s">
        <v>16</v>
      </c>
      <c r="R116" t="s">
        <v>17</v>
      </c>
      <c r="S116" t="b">
        <v>0</v>
      </c>
      <c r="T116">
        <v>6</v>
      </c>
      <c r="U116" t="s">
        <v>17</v>
      </c>
      <c r="V116" t="s">
        <v>17</v>
      </c>
      <c r="W116">
        <f t="shared" si="4"/>
        <v>16</v>
      </c>
      <c r="X116" t="s">
        <v>333</v>
      </c>
    </row>
    <row r="117" spans="1:24" x14ac:dyDescent="0.3">
      <c r="A117" s="4">
        <v>44490</v>
      </c>
      <c r="B117" t="s">
        <v>361</v>
      </c>
      <c r="C117" s="3">
        <v>7950</v>
      </c>
      <c r="D117">
        <v>2007</v>
      </c>
      <c r="E117" t="s">
        <v>362</v>
      </c>
      <c r="F117" t="s">
        <v>363</v>
      </c>
      <c r="G117" t="s">
        <v>364</v>
      </c>
      <c r="H117" t="s">
        <v>341</v>
      </c>
      <c r="I117" s="6">
        <v>133278</v>
      </c>
      <c r="J117" t="b">
        <v>0</v>
      </c>
      <c r="K117" t="s">
        <v>36</v>
      </c>
      <c r="L117" t="s">
        <v>30</v>
      </c>
      <c r="M117">
        <v>210</v>
      </c>
      <c r="N117">
        <v>3.7</v>
      </c>
      <c r="O117" t="s">
        <v>58</v>
      </c>
      <c r="P117">
        <v>17</v>
      </c>
      <c r="Q117" t="s">
        <v>16</v>
      </c>
      <c r="R117" t="s">
        <v>17</v>
      </c>
      <c r="S117" t="b">
        <v>1</v>
      </c>
      <c r="T117">
        <v>4</v>
      </c>
      <c r="U117" t="s">
        <v>17</v>
      </c>
      <c r="V117" t="s">
        <v>25</v>
      </c>
      <c r="W117">
        <f t="shared" si="4"/>
        <v>14</v>
      </c>
      <c r="X117" t="s">
        <v>333</v>
      </c>
    </row>
    <row r="118" spans="1:24" x14ac:dyDescent="0.3">
      <c r="A118" s="4">
        <v>44490</v>
      </c>
      <c r="B118" t="s">
        <v>365</v>
      </c>
      <c r="C118" s="3">
        <v>2995</v>
      </c>
      <c r="D118">
        <v>2000</v>
      </c>
      <c r="E118" t="s">
        <v>63</v>
      </c>
      <c r="F118" t="s">
        <v>366</v>
      </c>
      <c r="G118" t="s">
        <v>367</v>
      </c>
      <c r="H118" t="s">
        <v>341</v>
      </c>
      <c r="I118" s="6">
        <v>223734</v>
      </c>
      <c r="J118" t="b">
        <v>0</v>
      </c>
      <c r="K118" t="s">
        <v>36</v>
      </c>
      <c r="L118" t="s">
        <v>30</v>
      </c>
      <c r="M118">
        <v>119</v>
      </c>
      <c r="N118">
        <v>2.5</v>
      </c>
      <c r="O118" t="s">
        <v>13</v>
      </c>
      <c r="P118">
        <v>20</v>
      </c>
      <c r="Q118" t="s">
        <v>16</v>
      </c>
      <c r="R118" t="s">
        <v>17</v>
      </c>
      <c r="S118" t="b">
        <v>0</v>
      </c>
      <c r="T118">
        <v>5</v>
      </c>
      <c r="U118" t="s">
        <v>17</v>
      </c>
      <c r="V118" t="s">
        <v>25</v>
      </c>
      <c r="W118">
        <f t="shared" si="4"/>
        <v>21</v>
      </c>
      <c r="X118" t="s">
        <v>335</v>
      </c>
    </row>
    <row r="119" spans="1:24" x14ac:dyDescent="0.3">
      <c r="A119" s="4">
        <v>44490</v>
      </c>
      <c r="B119" t="s">
        <v>475</v>
      </c>
      <c r="C119" s="3">
        <v>10500</v>
      </c>
      <c r="D119">
        <v>2012</v>
      </c>
      <c r="E119" t="s">
        <v>182</v>
      </c>
      <c r="F119" t="s">
        <v>476</v>
      </c>
      <c r="H119" t="s">
        <v>395</v>
      </c>
      <c r="I119" s="6">
        <v>103425</v>
      </c>
      <c r="J119" t="b">
        <v>0</v>
      </c>
      <c r="K119" t="s">
        <v>8</v>
      </c>
      <c r="L119" t="s">
        <v>30</v>
      </c>
      <c r="M119">
        <v>280</v>
      </c>
      <c r="N119">
        <v>3.5</v>
      </c>
      <c r="O119" t="s">
        <v>58</v>
      </c>
      <c r="P119">
        <v>24</v>
      </c>
      <c r="Q119" t="s">
        <v>16</v>
      </c>
      <c r="R119" t="s">
        <v>17</v>
      </c>
      <c r="S119" t="b">
        <v>0</v>
      </c>
      <c r="T119">
        <v>3</v>
      </c>
      <c r="U119" t="s">
        <v>17</v>
      </c>
      <c r="V119" t="s">
        <v>17</v>
      </c>
      <c r="W119">
        <f t="shared" ref="W119:W150" si="5">2021-D119</f>
        <v>9</v>
      </c>
      <c r="X119" t="s">
        <v>333</v>
      </c>
    </row>
    <row r="120" spans="1:24" x14ac:dyDescent="0.3">
      <c r="A120" s="4">
        <v>44490</v>
      </c>
      <c r="B120" t="s">
        <v>524</v>
      </c>
      <c r="C120" s="3">
        <v>16995</v>
      </c>
      <c r="D120">
        <v>2011</v>
      </c>
      <c r="E120" t="s">
        <v>38</v>
      </c>
      <c r="F120" t="s">
        <v>511</v>
      </c>
      <c r="G120" t="s">
        <v>525</v>
      </c>
      <c r="H120" t="s">
        <v>395</v>
      </c>
      <c r="I120" s="6">
        <v>129320</v>
      </c>
      <c r="J120" t="b">
        <v>0</v>
      </c>
      <c r="K120" t="s">
        <v>136</v>
      </c>
      <c r="L120" t="s">
        <v>30</v>
      </c>
      <c r="M120">
        <v>372</v>
      </c>
      <c r="N120">
        <v>4.2</v>
      </c>
      <c r="O120" t="s">
        <v>74</v>
      </c>
      <c r="P120">
        <v>22</v>
      </c>
      <c r="Q120" t="s">
        <v>16</v>
      </c>
      <c r="R120" t="s">
        <v>17</v>
      </c>
      <c r="S120" t="b">
        <v>1</v>
      </c>
      <c r="T120">
        <v>3</v>
      </c>
      <c r="U120" t="s">
        <v>17</v>
      </c>
      <c r="V120" t="s">
        <v>17</v>
      </c>
      <c r="W120">
        <f t="shared" si="5"/>
        <v>10</v>
      </c>
      <c r="X120" t="s">
        <v>334</v>
      </c>
    </row>
    <row r="121" spans="1:24" x14ac:dyDescent="0.3">
      <c r="A121" s="4">
        <v>44490</v>
      </c>
      <c r="B121" t="s">
        <v>422</v>
      </c>
      <c r="C121" s="3">
        <v>29997</v>
      </c>
      <c r="D121">
        <v>2018</v>
      </c>
      <c r="E121" t="s">
        <v>38</v>
      </c>
      <c r="F121" t="s">
        <v>97</v>
      </c>
      <c r="G121" t="s">
        <v>423</v>
      </c>
      <c r="H121" t="s">
        <v>395</v>
      </c>
      <c r="I121" s="6">
        <v>57783</v>
      </c>
      <c r="J121" t="b">
        <v>0</v>
      </c>
      <c r="K121" t="s">
        <v>136</v>
      </c>
      <c r="L121" t="s">
        <v>30</v>
      </c>
      <c r="M121">
        <v>252</v>
      </c>
      <c r="N121">
        <v>2</v>
      </c>
      <c r="O121" t="s">
        <v>13</v>
      </c>
      <c r="P121">
        <v>29</v>
      </c>
      <c r="Q121" t="s">
        <v>16</v>
      </c>
      <c r="R121" t="s">
        <v>17</v>
      </c>
      <c r="S121" t="b">
        <v>0</v>
      </c>
      <c r="T121">
        <v>1</v>
      </c>
      <c r="U121" t="s">
        <v>17</v>
      </c>
      <c r="V121" t="s">
        <v>17</v>
      </c>
      <c r="W121">
        <f t="shared" si="5"/>
        <v>3</v>
      </c>
      <c r="X121" t="s">
        <v>334</v>
      </c>
    </row>
    <row r="122" spans="1:24" x14ac:dyDescent="0.3">
      <c r="A122" s="4">
        <v>44490</v>
      </c>
      <c r="B122" t="s">
        <v>510</v>
      </c>
      <c r="C122" s="3">
        <v>27591</v>
      </c>
      <c r="D122">
        <v>2015</v>
      </c>
      <c r="E122" t="s">
        <v>38</v>
      </c>
      <c r="F122" t="s">
        <v>511</v>
      </c>
      <c r="G122" t="s">
        <v>512</v>
      </c>
      <c r="H122" t="s">
        <v>395</v>
      </c>
      <c r="I122" s="6">
        <v>91755</v>
      </c>
      <c r="J122" t="b">
        <v>0</v>
      </c>
      <c r="K122" t="s">
        <v>136</v>
      </c>
      <c r="L122" t="s">
        <v>30</v>
      </c>
      <c r="M122">
        <v>435</v>
      </c>
      <c r="N122">
        <v>4</v>
      </c>
      <c r="O122" t="s">
        <v>74</v>
      </c>
      <c r="P122">
        <v>23</v>
      </c>
      <c r="Q122" t="s">
        <v>16</v>
      </c>
      <c r="R122" t="s">
        <v>17</v>
      </c>
      <c r="S122" t="b">
        <v>0</v>
      </c>
      <c r="T122">
        <v>2</v>
      </c>
      <c r="U122" t="s">
        <v>17</v>
      </c>
      <c r="V122" t="s">
        <v>17</v>
      </c>
      <c r="W122">
        <f t="shared" si="5"/>
        <v>6</v>
      </c>
      <c r="X122" t="s">
        <v>334</v>
      </c>
    </row>
    <row r="123" spans="1:24" x14ac:dyDescent="0.3">
      <c r="A123" s="4">
        <v>44490</v>
      </c>
      <c r="B123" t="s">
        <v>437</v>
      </c>
      <c r="C123" s="3">
        <v>6994</v>
      </c>
      <c r="D123">
        <v>2006</v>
      </c>
      <c r="E123" t="s">
        <v>42</v>
      </c>
      <c r="F123" t="s">
        <v>419</v>
      </c>
      <c r="G123" t="s">
        <v>438</v>
      </c>
      <c r="H123" t="s">
        <v>395</v>
      </c>
      <c r="I123" s="6">
        <v>132551</v>
      </c>
      <c r="J123" t="b">
        <v>0</v>
      </c>
      <c r="K123" t="s">
        <v>36</v>
      </c>
      <c r="L123" t="s">
        <v>30</v>
      </c>
      <c r="M123">
        <v>215</v>
      </c>
      <c r="N123">
        <v>3</v>
      </c>
      <c r="O123" t="s">
        <v>49</v>
      </c>
      <c r="P123">
        <v>22</v>
      </c>
      <c r="Q123" t="s">
        <v>16</v>
      </c>
      <c r="R123" t="s">
        <v>17</v>
      </c>
      <c r="S123" t="b">
        <v>1</v>
      </c>
      <c r="T123">
        <v>4</v>
      </c>
      <c r="U123" t="s">
        <v>17</v>
      </c>
      <c r="V123" t="s">
        <v>17</v>
      </c>
      <c r="W123">
        <f t="shared" si="5"/>
        <v>15</v>
      </c>
      <c r="X123" t="s">
        <v>334</v>
      </c>
    </row>
    <row r="124" spans="1:24" x14ac:dyDescent="0.3">
      <c r="A124" s="4">
        <v>44490</v>
      </c>
      <c r="B124" t="s">
        <v>516</v>
      </c>
      <c r="C124" s="3">
        <v>16995</v>
      </c>
      <c r="D124">
        <v>2013</v>
      </c>
      <c r="E124" t="s">
        <v>42</v>
      </c>
      <c r="F124" t="s">
        <v>442</v>
      </c>
      <c r="G124" t="s">
        <v>517</v>
      </c>
      <c r="H124" t="s">
        <v>395</v>
      </c>
      <c r="I124" s="6">
        <v>117191</v>
      </c>
      <c r="J124" t="b">
        <v>0</v>
      </c>
      <c r="K124" t="s">
        <v>136</v>
      </c>
      <c r="L124" t="s">
        <v>30</v>
      </c>
      <c r="M124">
        <v>445</v>
      </c>
      <c r="N124">
        <v>4.4000000000000004</v>
      </c>
      <c r="O124" t="s">
        <v>74</v>
      </c>
      <c r="P124">
        <v>20</v>
      </c>
      <c r="Q124" t="s">
        <v>16</v>
      </c>
      <c r="R124" t="s">
        <v>17</v>
      </c>
      <c r="S124" t="b">
        <v>1</v>
      </c>
      <c r="T124">
        <v>4</v>
      </c>
      <c r="U124" t="s">
        <v>17</v>
      </c>
      <c r="V124" t="s">
        <v>17</v>
      </c>
      <c r="W124">
        <f t="shared" si="5"/>
        <v>8</v>
      </c>
      <c r="X124" t="s">
        <v>334</v>
      </c>
    </row>
    <row r="125" spans="1:24" x14ac:dyDescent="0.3">
      <c r="A125" s="4">
        <v>44490</v>
      </c>
      <c r="B125" t="s">
        <v>418</v>
      </c>
      <c r="C125" s="3">
        <v>22349</v>
      </c>
      <c r="D125">
        <v>2016</v>
      </c>
      <c r="E125" t="s">
        <v>42</v>
      </c>
      <c r="F125" t="s">
        <v>419</v>
      </c>
      <c r="G125" t="s">
        <v>420</v>
      </c>
      <c r="H125" t="s">
        <v>395</v>
      </c>
      <c r="I125" s="6">
        <v>69477</v>
      </c>
      <c r="J125" t="b">
        <v>0</v>
      </c>
      <c r="K125" t="s">
        <v>36</v>
      </c>
      <c r="L125" t="s">
        <v>30</v>
      </c>
      <c r="M125">
        <v>240</v>
      </c>
      <c r="N125">
        <v>2</v>
      </c>
      <c r="O125" t="s">
        <v>13</v>
      </c>
      <c r="P125">
        <v>28</v>
      </c>
      <c r="Q125" t="s">
        <v>16</v>
      </c>
      <c r="R125" t="s">
        <v>17</v>
      </c>
      <c r="S125" t="b">
        <v>0</v>
      </c>
      <c r="T125">
        <v>3</v>
      </c>
      <c r="U125" t="s">
        <v>25</v>
      </c>
      <c r="V125" t="s">
        <v>17</v>
      </c>
      <c r="W125">
        <f t="shared" si="5"/>
        <v>5</v>
      </c>
      <c r="X125" t="s">
        <v>334</v>
      </c>
    </row>
    <row r="126" spans="1:24" x14ac:dyDescent="0.3">
      <c r="A126" s="4">
        <v>44490</v>
      </c>
      <c r="B126" t="s">
        <v>433</v>
      </c>
      <c r="C126" s="3">
        <v>26391</v>
      </c>
      <c r="D126">
        <v>2015</v>
      </c>
      <c r="E126" t="s">
        <v>42</v>
      </c>
      <c r="F126" t="s">
        <v>51</v>
      </c>
      <c r="G126" t="s">
        <v>100</v>
      </c>
      <c r="H126" t="s">
        <v>395</v>
      </c>
      <c r="I126" s="6">
        <v>47371</v>
      </c>
      <c r="J126" t="b">
        <v>0</v>
      </c>
      <c r="K126" t="s">
        <v>36</v>
      </c>
      <c r="L126" t="s">
        <v>30</v>
      </c>
      <c r="M126">
        <v>300</v>
      </c>
      <c r="N126">
        <v>3</v>
      </c>
      <c r="O126" t="s">
        <v>49</v>
      </c>
      <c r="P126">
        <v>26</v>
      </c>
      <c r="Q126" t="s">
        <v>16</v>
      </c>
      <c r="R126" t="s">
        <v>17</v>
      </c>
      <c r="S126" t="b">
        <v>0</v>
      </c>
      <c r="T126">
        <v>3</v>
      </c>
      <c r="U126" t="s">
        <v>17</v>
      </c>
      <c r="V126" t="s">
        <v>17</v>
      </c>
      <c r="W126">
        <f t="shared" si="5"/>
        <v>6</v>
      </c>
      <c r="X126" t="s">
        <v>334</v>
      </c>
    </row>
    <row r="127" spans="1:24" x14ac:dyDescent="0.3">
      <c r="A127" s="4">
        <v>44490</v>
      </c>
      <c r="B127" t="s">
        <v>434</v>
      </c>
      <c r="C127" s="3">
        <v>6990</v>
      </c>
      <c r="D127">
        <v>2011</v>
      </c>
      <c r="E127" t="s">
        <v>42</v>
      </c>
      <c r="F127" t="s">
        <v>51</v>
      </c>
      <c r="G127" t="s">
        <v>52</v>
      </c>
      <c r="H127" t="s">
        <v>395</v>
      </c>
      <c r="I127" s="6">
        <v>149375</v>
      </c>
      <c r="J127" t="b">
        <v>0</v>
      </c>
      <c r="K127" t="s">
        <v>36</v>
      </c>
      <c r="L127" t="s">
        <v>30</v>
      </c>
      <c r="M127">
        <v>230</v>
      </c>
      <c r="N127">
        <v>3</v>
      </c>
      <c r="O127" t="s">
        <v>49</v>
      </c>
      <c r="P127">
        <v>23</v>
      </c>
      <c r="Q127" t="s">
        <v>16</v>
      </c>
      <c r="R127" t="s">
        <v>17</v>
      </c>
      <c r="S127" t="b">
        <v>0</v>
      </c>
      <c r="T127">
        <v>3</v>
      </c>
      <c r="U127" t="s">
        <v>17</v>
      </c>
      <c r="V127" t="s">
        <v>17</v>
      </c>
      <c r="W127">
        <f t="shared" si="5"/>
        <v>10</v>
      </c>
      <c r="X127" t="s">
        <v>334</v>
      </c>
    </row>
    <row r="128" spans="1:24" x14ac:dyDescent="0.3">
      <c r="A128" s="4">
        <v>44490</v>
      </c>
      <c r="B128" t="s">
        <v>435</v>
      </c>
      <c r="C128" s="3">
        <v>6995</v>
      </c>
      <c r="D128">
        <v>2009</v>
      </c>
      <c r="E128" t="s">
        <v>42</v>
      </c>
      <c r="F128" t="s">
        <v>51</v>
      </c>
      <c r="G128" t="s">
        <v>52</v>
      </c>
      <c r="H128" t="s">
        <v>395</v>
      </c>
      <c r="I128" s="6">
        <v>127311</v>
      </c>
      <c r="J128" t="b">
        <v>0</v>
      </c>
      <c r="K128" t="s">
        <v>36</v>
      </c>
      <c r="L128" t="s">
        <v>30</v>
      </c>
      <c r="M128">
        <v>230</v>
      </c>
      <c r="N128">
        <v>3</v>
      </c>
      <c r="O128" t="s">
        <v>49</v>
      </c>
      <c r="P128">
        <v>23</v>
      </c>
      <c r="Q128" t="s">
        <v>16</v>
      </c>
      <c r="R128" t="s">
        <v>17</v>
      </c>
      <c r="S128" t="b">
        <v>0</v>
      </c>
      <c r="T128">
        <v>3</v>
      </c>
      <c r="U128" t="s">
        <v>17</v>
      </c>
      <c r="V128" t="s">
        <v>17</v>
      </c>
      <c r="W128">
        <f t="shared" si="5"/>
        <v>12</v>
      </c>
      <c r="X128" t="s">
        <v>334</v>
      </c>
    </row>
    <row r="129" spans="1:24" x14ac:dyDescent="0.3">
      <c r="A129" s="4">
        <v>44490</v>
      </c>
      <c r="B129" t="s">
        <v>436</v>
      </c>
      <c r="C129" s="3">
        <v>11495</v>
      </c>
      <c r="D129">
        <v>2012</v>
      </c>
      <c r="E129" t="s">
        <v>42</v>
      </c>
      <c r="F129" t="s">
        <v>51</v>
      </c>
      <c r="G129" t="s">
        <v>100</v>
      </c>
      <c r="H129" t="s">
        <v>395</v>
      </c>
      <c r="I129" s="6">
        <v>133051</v>
      </c>
      <c r="J129" t="b">
        <v>0</v>
      </c>
      <c r="K129" t="s">
        <v>36</v>
      </c>
      <c r="L129" t="s">
        <v>30</v>
      </c>
      <c r="M129">
        <v>300</v>
      </c>
      <c r="N129">
        <v>3</v>
      </c>
      <c r="O129" t="s">
        <v>49</v>
      </c>
      <c r="P129">
        <v>28</v>
      </c>
      <c r="Q129" t="s">
        <v>16</v>
      </c>
      <c r="R129" t="s">
        <v>17</v>
      </c>
      <c r="S129" t="b">
        <v>0</v>
      </c>
      <c r="T129">
        <v>3</v>
      </c>
      <c r="U129" t="s">
        <v>17</v>
      </c>
      <c r="V129" t="s">
        <v>17</v>
      </c>
      <c r="W129">
        <f t="shared" si="5"/>
        <v>9</v>
      </c>
      <c r="X129" t="s">
        <v>334</v>
      </c>
    </row>
    <row r="130" spans="1:24" x14ac:dyDescent="0.3">
      <c r="A130" s="4">
        <v>44490</v>
      </c>
      <c r="B130" t="s">
        <v>439</v>
      </c>
      <c r="C130" s="3">
        <v>23991</v>
      </c>
      <c r="D130">
        <v>2015</v>
      </c>
      <c r="E130" t="s">
        <v>42</v>
      </c>
      <c r="F130" t="s">
        <v>138</v>
      </c>
      <c r="G130" t="s">
        <v>440</v>
      </c>
      <c r="H130" t="s">
        <v>395</v>
      </c>
      <c r="I130" s="6">
        <v>96499</v>
      </c>
      <c r="J130" t="b">
        <v>0</v>
      </c>
      <c r="K130" t="s">
        <v>36</v>
      </c>
      <c r="L130" t="s">
        <v>30</v>
      </c>
      <c r="M130">
        <v>300</v>
      </c>
      <c r="N130">
        <v>3</v>
      </c>
      <c r="O130" t="s">
        <v>49</v>
      </c>
      <c r="P130">
        <v>26</v>
      </c>
      <c r="Q130" t="s">
        <v>16</v>
      </c>
      <c r="R130" t="s">
        <v>17</v>
      </c>
      <c r="S130" t="b">
        <v>0</v>
      </c>
      <c r="T130">
        <v>4</v>
      </c>
      <c r="U130" t="s">
        <v>17</v>
      </c>
      <c r="V130" t="s">
        <v>17</v>
      </c>
      <c r="W130">
        <f t="shared" si="5"/>
        <v>6</v>
      </c>
      <c r="X130" t="s">
        <v>334</v>
      </c>
    </row>
    <row r="131" spans="1:24" x14ac:dyDescent="0.3">
      <c r="A131" s="4">
        <v>44490</v>
      </c>
      <c r="B131" t="s">
        <v>441</v>
      </c>
      <c r="C131" s="3">
        <v>14499</v>
      </c>
      <c r="D131">
        <v>2011</v>
      </c>
      <c r="E131" t="s">
        <v>42</v>
      </c>
      <c r="F131" t="s">
        <v>442</v>
      </c>
      <c r="G131" t="s">
        <v>443</v>
      </c>
      <c r="H131" t="s">
        <v>395</v>
      </c>
      <c r="I131" s="6">
        <v>103079</v>
      </c>
      <c r="J131" t="b">
        <v>0</v>
      </c>
      <c r="K131" t="s">
        <v>36</v>
      </c>
      <c r="L131" t="s">
        <v>30</v>
      </c>
      <c r="M131">
        <v>315</v>
      </c>
      <c r="N131">
        <v>3</v>
      </c>
      <c r="O131" t="s">
        <v>49</v>
      </c>
      <c r="P131">
        <v>21</v>
      </c>
      <c r="Q131" t="s">
        <v>16</v>
      </c>
      <c r="R131" t="s">
        <v>17</v>
      </c>
      <c r="S131" t="b">
        <v>0</v>
      </c>
      <c r="T131">
        <v>4</v>
      </c>
      <c r="U131" t="s">
        <v>17</v>
      </c>
      <c r="V131" t="s">
        <v>17</v>
      </c>
      <c r="W131">
        <f t="shared" si="5"/>
        <v>10</v>
      </c>
      <c r="X131" t="s">
        <v>334</v>
      </c>
    </row>
    <row r="132" spans="1:24" x14ac:dyDescent="0.3">
      <c r="A132" s="4">
        <v>44490</v>
      </c>
      <c r="B132" t="s">
        <v>444</v>
      </c>
      <c r="C132" s="3">
        <v>10952</v>
      </c>
      <c r="D132">
        <v>2010</v>
      </c>
      <c r="E132" t="s">
        <v>42</v>
      </c>
      <c r="F132" t="s">
        <v>419</v>
      </c>
      <c r="G132" t="s">
        <v>445</v>
      </c>
      <c r="H132" t="s">
        <v>395</v>
      </c>
      <c r="I132" s="6">
        <v>127947</v>
      </c>
      <c r="J132" t="b">
        <v>0</v>
      </c>
      <c r="K132" t="s">
        <v>36</v>
      </c>
      <c r="L132" t="s">
        <v>30</v>
      </c>
      <c r="M132">
        <v>300</v>
      </c>
      <c r="N132">
        <v>3</v>
      </c>
      <c r="O132" t="s">
        <v>49</v>
      </c>
      <c r="P132">
        <v>21</v>
      </c>
      <c r="Q132" t="s">
        <v>16</v>
      </c>
      <c r="R132" t="s">
        <v>17</v>
      </c>
      <c r="S132" t="b">
        <v>0</v>
      </c>
      <c r="T132">
        <v>3</v>
      </c>
      <c r="U132" t="s">
        <v>17</v>
      </c>
      <c r="V132" t="s">
        <v>17</v>
      </c>
      <c r="W132">
        <f t="shared" si="5"/>
        <v>11</v>
      </c>
      <c r="X132" t="s">
        <v>334</v>
      </c>
    </row>
    <row r="133" spans="1:24" x14ac:dyDescent="0.3">
      <c r="A133" s="4">
        <v>44490</v>
      </c>
      <c r="B133" t="s">
        <v>448</v>
      </c>
      <c r="C133" s="3">
        <v>6990</v>
      </c>
      <c r="D133">
        <v>2002</v>
      </c>
      <c r="E133" t="s">
        <v>42</v>
      </c>
      <c r="F133" t="s">
        <v>419</v>
      </c>
      <c r="G133" t="s">
        <v>438</v>
      </c>
      <c r="H133" t="s">
        <v>395</v>
      </c>
      <c r="I133" s="6">
        <v>151519</v>
      </c>
      <c r="J133" t="b">
        <v>0</v>
      </c>
      <c r="K133" t="s">
        <v>36</v>
      </c>
      <c r="L133" t="s">
        <v>30</v>
      </c>
      <c r="M133">
        <v>184</v>
      </c>
      <c r="N133">
        <v>2.5</v>
      </c>
      <c r="O133" t="s">
        <v>49</v>
      </c>
      <c r="P133">
        <v>20</v>
      </c>
      <c r="Q133" t="s">
        <v>16</v>
      </c>
      <c r="R133" t="s">
        <v>17</v>
      </c>
      <c r="S133" t="b">
        <v>0</v>
      </c>
      <c r="T133">
        <v>3</v>
      </c>
      <c r="U133" t="s">
        <v>17</v>
      </c>
      <c r="V133" t="s">
        <v>17</v>
      </c>
      <c r="W133">
        <f t="shared" si="5"/>
        <v>19</v>
      </c>
      <c r="X133" t="s">
        <v>334</v>
      </c>
    </row>
    <row r="134" spans="1:24" x14ac:dyDescent="0.3">
      <c r="A134" s="4">
        <v>44490</v>
      </c>
      <c r="B134" t="s">
        <v>485</v>
      </c>
      <c r="C134" s="3">
        <v>10995</v>
      </c>
      <c r="D134">
        <v>2011</v>
      </c>
      <c r="E134" t="s">
        <v>42</v>
      </c>
      <c r="F134" t="s">
        <v>419</v>
      </c>
      <c r="G134" t="s">
        <v>486</v>
      </c>
      <c r="H134" t="s">
        <v>395</v>
      </c>
      <c r="I134" s="6">
        <v>78726</v>
      </c>
      <c r="J134" t="b">
        <v>0</v>
      </c>
      <c r="K134" t="s">
        <v>36</v>
      </c>
      <c r="L134" t="s">
        <v>30</v>
      </c>
      <c r="M134">
        <v>400</v>
      </c>
      <c r="N134">
        <v>4.4000000000000004</v>
      </c>
      <c r="O134" t="s">
        <v>74</v>
      </c>
      <c r="P134">
        <v>21</v>
      </c>
      <c r="Q134" t="s">
        <v>16</v>
      </c>
      <c r="R134" t="s">
        <v>17</v>
      </c>
      <c r="S134" t="b">
        <v>0</v>
      </c>
      <c r="T134">
        <v>2</v>
      </c>
      <c r="U134" t="s">
        <v>17</v>
      </c>
      <c r="V134" t="s">
        <v>25</v>
      </c>
      <c r="W134">
        <f t="shared" si="5"/>
        <v>10</v>
      </c>
      <c r="X134" t="s">
        <v>334</v>
      </c>
    </row>
    <row r="135" spans="1:24" x14ac:dyDescent="0.3">
      <c r="A135" s="4">
        <v>44490</v>
      </c>
      <c r="B135" t="s">
        <v>518</v>
      </c>
      <c r="C135" s="3">
        <v>28995</v>
      </c>
      <c r="D135">
        <v>2016</v>
      </c>
      <c r="E135" t="s">
        <v>42</v>
      </c>
      <c r="F135" t="s">
        <v>419</v>
      </c>
      <c r="G135" t="s">
        <v>486</v>
      </c>
      <c r="H135" t="s">
        <v>395</v>
      </c>
      <c r="I135" s="6">
        <v>72715</v>
      </c>
      <c r="J135" t="b">
        <v>0</v>
      </c>
      <c r="K135" t="s">
        <v>36</v>
      </c>
      <c r="L135" t="s">
        <v>30</v>
      </c>
      <c r="M135">
        <v>445</v>
      </c>
      <c r="N135">
        <v>4.4000000000000004</v>
      </c>
      <c r="O135" t="s">
        <v>74</v>
      </c>
      <c r="P135">
        <v>21</v>
      </c>
      <c r="Q135" t="s">
        <v>16</v>
      </c>
      <c r="R135" t="s">
        <v>17</v>
      </c>
      <c r="S135" t="b">
        <v>0</v>
      </c>
      <c r="T135">
        <v>2</v>
      </c>
      <c r="U135" t="s">
        <v>17</v>
      </c>
      <c r="V135" t="s">
        <v>17</v>
      </c>
      <c r="W135">
        <f t="shared" si="5"/>
        <v>5</v>
      </c>
      <c r="X135" t="s">
        <v>334</v>
      </c>
    </row>
    <row r="136" spans="1:24" x14ac:dyDescent="0.3">
      <c r="A136" s="4">
        <v>44490</v>
      </c>
      <c r="B136" t="s">
        <v>519</v>
      </c>
      <c r="C136" s="3">
        <v>17691</v>
      </c>
      <c r="D136">
        <v>2013</v>
      </c>
      <c r="E136" t="s">
        <v>42</v>
      </c>
      <c r="F136" t="s">
        <v>442</v>
      </c>
      <c r="G136" t="s">
        <v>520</v>
      </c>
      <c r="H136" t="s">
        <v>395</v>
      </c>
      <c r="I136" s="6">
        <v>105063</v>
      </c>
      <c r="J136" t="b">
        <v>0</v>
      </c>
      <c r="K136" t="s">
        <v>136</v>
      </c>
      <c r="L136" t="s">
        <v>30</v>
      </c>
      <c r="M136">
        <v>445</v>
      </c>
      <c r="N136">
        <v>4.4000000000000004</v>
      </c>
      <c r="O136" t="s">
        <v>74</v>
      </c>
      <c r="P136">
        <v>20</v>
      </c>
      <c r="Q136" t="s">
        <v>16</v>
      </c>
      <c r="R136" t="s">
        <v>17</v>
      </c>
      <c r="S136" t="b">
        <v>0</v>
      </c>
      <c r="T136">
        <v>3</v>
      </c>
      <c r="U136" t="s">
        <v>17</v>
      </c>
      <c r="V136" t="s">
        <v>17</v>
      </c>
      <c r="W136">
        <f t="shared" si="5"/>
        <v>8</v>
      </c>
      <c r="X136" t="s">
        <v>334</v>
      </c>
    </row>
    <row r="137" spans="1:24" x14ac:dyDescent="0.3">
      <c r="A137" s="4">
        <v>44490</v>
      </c>
      <c r="B137" t="s">
        <v>477</v>
      </c>
      <c r="C137" s="3">
        <v>15700</v>
      </c>
      <c r="D137">
        <v>2014</v>
      </c>
      <c r="E137" t="s">
        <v>144</v>
      </c>
      <c r="F137" t="s">
        <v>478</v>
      </c>
      <c r="G137" t="s">
        <v>479</v>
      </c>
      <c r="H137" t="s">
        <v>395</v>
      </c>
      <c r="I137" s="6">
        <v>57598</v>
      </c>
      <c r="J137" t="b">
        <v>0</v>
      </c>
      <c r="K137" t="s">
        <v>8</v>
      </c>
      <c r="L137" t="s">
        <v>30</v>
      </c>
      <c r="M137">
        <v>304</v>
      </c>
      <c r="N137">
        <v>3.6</v>
      </c>
      <c r="O137" t="s">
        <v>58</v>
      </c>
      <c r="P137">
        <v>23</v>
      </c>
      <c r="Q137" t="s">
        <v>16</v>
      </c>
      <c r="R137" t="s">
        <v>17</v>
      </c>
      <c r="S137" t="b">
        <v>1</v>
      </c>
      <c r="T137">
        <v>3</v>
      </c>
      <c r="U137" t="s">
        <v>17</v>
      </c>
      <c r="V137" t="s">
        <v>25</v>
      </c>
      <c r="W137">
        <f t="shared" si="5"/>
        <v>7</v>
      </c>
      <c r="X137" t="s">
        <v>335</v>
      </c>
    </row>
    <row r="138" spans="1:24" x14ac:dyDescent="0.3">
      <c r="A138" s="4">
        <v>44490</v>
      </c>
      <c r="B138" t="s">
        <v>506</v>
      </c>
      <c r="C138" s="3">
        <v>9895</v>
      </c>
      <c r="D138">
        <v>2011</v>
      </c>
      <c r="E138" t="s">
        <v>119</v>
      </c>
      <c r="F138" t="s">
        <v>493</v>
      </c>
      <c r="G138" t="s">
        <v>277</v>
      </c>
      <c r="H138" t="s">
        <v>395</v>
      </c>
      <c r="I138" s="6">
        <v>110000</v>
      </c>
      <c r="J138" t="b">
        <v>0</v>
      </c>
      <c r="K138" t="s">
        <v>8</v>
      </c>
      <c r="L138" t="s">
        <v>30</v>
      </c>
      <c r="M138">
        <v>275</v>
      </c>
      <c r="N138">
        <v>4.5999999999999996</v>
      </c>
      <c r="O138" t="s">
        <v>74</v>
      </c>
      <c r="P138">
        <v>19</v>
      </c>
      <c r="Q138" t="s">
        <v>16</v>
      </c>
      <c r="R138" t="s">
        <v>25</v>
      </c>
      <c r="S138" t="b">
        <v>0</v>
      </c>
      <c r="T138">
        <v>3</v>
      </c>
      <c r="U138" t="s">
        <v>17</v>
      </c>
      <c r="V138" t="s">
        <v>25</v>
      </c>
      <c r="W138">
        <f t="shared" si="5"/>
        <v>10</v>
      </c>
      <c r="X138" t="s">
        <v>335</v>
      </c>
    </row>
    <row r="139" spans="1:24" x14ac:dyDescent="0.3">
      <c r="A139" s="4">
        <v>44490</v>
      </c>
      <c r="B139" t="s">
        <v>459</v>
      </c>
      <c r="C139" s="3">
        <v>8999</v>
      </c>
      <c r="D139">
        <v>2012</v>
      </c>
      <c r="E139" t="s">
        <v>119</v>
      </c>
      <c r="F139" t="s">
        <v>460</v>
      </c>
      <c r="G139" t="s">
        <v>461</v>
      </c>
      <c r="H139" t="s">
        <v>395</v>
      </c>
      <c r="I139" s="6">
        <v>71000</v>
      </c>
      <c r="J139" t="b">
        <v>0</v>
      </c>
      <c r="K139" t="s">
        <v>36</v>
      </c>
      <c r="L139" t="s">
        <v>30</v>
      </c>
      <c r="M139">
        <v>270</v>
      </c>
      <c r="N139">
        <v>3</v>
      </c>
      <c r="O139" t="s">
        <v>58</v>
      </c>
      <c r="P139">
        <v>22</v>
      </c>
      <c r="Q139" t="s">
        <v>16</v>
      </c>
      <c r="R139" t="s">
        <v>17</v>
      </c>
      <c r="S139" t="b">
        <v>1</v>
      </c>
      <c r="T139">
        <v>2</v>
      </c>
      <c r="U139" t="s">
        <v>17</v>
      </c>
      <c r="V139" t="s">
        <v>17</v>
      </c>
      <c r="W139">
        <f t="shared" si="5"/>
        <v>9</v>
      </c>
      <c r="X139" t="s">
        <v>335</v>
      </c>
    </row>
    <row r="140" spans="1:24" x14ac:dyDescent="0.3">
      <c r="A140" s="4">
        <v>44490</v>
      </c>
      <c r="B140" t="s">
        <v>412</v>
      </c>
      <c r="C140" s="3">
        <v>14495</v>
      </c>
      <c r="D140">
        <v>2020</v>
      </c>
      <c r="E140" t="s">
        <v>76</v>
      </c>
      <c r="F140" t="s">
        <v>413</v>
      </c>
      <c r="G140" t="s">
        <v>414</v>
      </c>
      <c r="H140" t="s">
        <v>395</v>
      </c>
      <c r="I140" s="6">
        <v>7036</v>
      </c>
      <c r="J140" t="b">
        <v>0</v>
      </c>
      <c r="K140" t="s">
        <v>8</v>
      </c>
      <c r="L140" t="s">
        <v>30</v>
      </c>
      <c r="M140">
        <v>138</v>
      </c>
      <c r="N140">
        <v>1.4</v>
      </c>
      <c r="O140" t="s">
        <v>13</v>
      </c>
      <c r="P140">
        <v>30</v>
      </c>
      <c r="Q140" t="s">
        <v>16</v>
      </c>
      <c r="R140" t="s">
        <v>25</v>
      </c>
      <c r="S140" t="b">
        <v>1</v>
      </c>
      <c r="T140">
        <v>1</v>
      </c>
      <c r="U140" t="s">
        <v>17</v>
      </c>
      <c r="V140" t="s">
        <v>17</v>
      </c>
      <c r="W140">
        <f t="shared" si="5"/>
        <v>1</v>
      </c>
      <c r="X140" t="s">
        <v>335</v>
      </c>
    </row>
    <row r="141" spans="1:24" x14ac:dyDescent="0.3">
      <c r="A141" s="4">
        <v>44490</v>
      </c>
      <c r="B141" t="s">
        <v>449</v>
      </c>
      <c r="C141" s="3">
        <v>22687</v>
      </c>
      <c r="D141">
        <v>2018</v>
      </c>
      <c r="E141" t="s">
        <v>228</v>
      </c>
      <c r="F141" t="s">
        <v>450</v>
      </c>
      <c r="G141" t="s">
        <v>230</v>
      </c>
      <c r="H141" t="s">
        <v>395</v>
      </c>
      <c r="I141" s="6">
        <v>98338</v>
      </c>
      <c r="J141" t="b">
        <v>0</v>
      </c>
      <c r="K141" t="s">
        <v>36</v>
      </c>
      <c r="L141" t="s">
        <v>30</v>
      </c>
      <c r="M141">
        <v>292</v>
      </c>
      <c r="N141">
        <v>3.6</v>
      </c>
      <c r="O141" t="s">
        <v>58</v>
      </c>
      <c r="P141">
        <v>24</v>
      </c>
      <c r="Q141" t="s">
        <v>16</v>
      </c>
      <c r="R141" t="s">
        <v>17</v>
      </c>
      <c r="S141" t="b">
        <v>0</v>
      </c>
      <c r="T141">
        <v>1</v>
      </c>
      <c r="U141" t="s">
        <v>17</v>
      </c>
      <c r="V141" t="s">
        <v>17</v>
      </c>
      <c r="W141">
        <f t="shared" si="5"/>
        <v>3</v>
      </c>
      <c r="X141" t="s">
        <v>335</v>
      </c>
    </row>
    <row r="142" spans="1:24" x14ac:dyDescent="0.3">
      <c r="A142" s="4">
        <v>44490</v>
      </c>
      <c r="B142" t="s">
        <v>484</v>
      </c>
      <c r="C142" s="3">
        <v>24000</v>
      </c>
      <c r="D142">
        <v>2018</v>
      </c>
      <c r="E142" t="s">
        <v>228</v>
      </c>
      <c r="F142" t="s">
        <v>450</v>
      </c>
      <c r="G142" t="s">
        <v>236</v>
      </c>
      <c r="H142" t="s">
        <v>395</v>
      </c>
      <c r="I142" s="6">
        <v>67983</v>
      </c>
      <c r="J142" t="b">
        <v>0</v>
      </c>
      <c r="K142" t="s">
        <v>36</v>
      </c>
      <c r="L142" t="s">
        <v>30</v>
      </c>
      <c r="M142">
        <v>370</v>
      </c>
      <c r="N142">
        <v>5.7</v>
      </c>
      <c r="O142" t="s">
        <v>74</v>
      </c>
      <c r="P142">
        <v>20</v>
      </c>
      <c r="Q142" t="s">
        <v>16</v>
      </c>
      <c r="R142" t="s">
        <v>17</v>
      </c>
      <c r="S142" t="b">
        <v>0</v>
      </c>
      <c r="T142">
        <v>3</v>
      </c>
      <c r="U142" t="s">
        <v>25</v>
      </c>
      <c r="V142" t="s">
        <v>17</v>
      </c>
      <c r="W142">
        <f t="shared" si="5"/>
        <v>3</v>
      </c>
      <c r="X142" t="s">
        <v>335</v>
      </c>
    </row>
    <row r="143" spans="1:24" x14ac:dyDescent="0.3">
      <c r="A143" s="4">
        <v>44490</v>
      </c>
      <c r="B143" t="s">
        <v>504</v>
      </c>
      <c r="C143" s="3">
        <v>29299</v>
      </c>
      <c r="D143">
        <v>2018</v>
      </c>
      <c r="E143" t="s">
        <v>228</v>
      </c>
      <c r="F143" t="s">
        <v>450</v>
      </c>
      <c r="G143" t="s">
        <v>236</v>
      </c>
      <c r="H143" t="s">
        <v>395</v>
      </c>
      <c r="I143" s="6">
        <v>50764</v>
      </c>
      <c r="J143" t="b">
        <v>0</v>
      </c>
      <c r="K143" t="s">
        <v>36</v>
      </c>
      <c r="L143" t="s">
        <v>30</v>
      </c>
      <c r="M143">
        <v>370</v>
      </c>
      <c r="N143">
        <v>5.7</v>
      </c>
      <c r="O143" t="s">
        <v>74</v>
      </c>
      <c r="P143">
        <v>20</v>
      </c>
      <c r="Q143" t="s">
        <v>16</v>
      </c>
      <c r="R143" t="s">
        <v>17</v>
      </c>
      <c r="S143" t="b">
        <v>0</v>
      </c>
      <c r="T143">
        <v>1</v>
      </c>
      <c r="U143" t="s">
        <v>17</v>
      </c>
      <c r="V143" t="s">
        <v>17</v>
      </c>
      <c r="W143">
        <f t="shared" si="5"/>
        <v>3</v>
      </c>
      <c r="X143" t="s">
        <v>335</v>
      </c>
    </row>
    <row r="144" spans="1:24" x14ac:dyDescent="0.3">
      <c r="A144" s="4">
        <v>44490</v>
      </c>
      <c r="B144" t="s">
        <v>405</v>
      </c>
      <c r="C144" s="3">
        <v>8995</v>
      </c>
      <c r="D144">
        <v>2015</v>
      </c>
      <c r="E144" t="s">
        <v>63</v>
      </c>
      <c r="F144" t="s">
        <v>406</v>
      </c>
      <c r="G144" t="s">
        <v>261</v>
      </c>
      <c r="H144" t="s">
        <v>395</v>
      </c>
      <c r="I144" s="6">
        <v>114168</v>
      </c>
      <c r="J144" t="b">
        <v>0</v>
      </c>
      <c r="K144" t="s">
        <v>8</v>
      </c>
      <c r="L144" t="s">
        <v>30</v>
      </c>
      <c r="M144">
        <v>240</v>
      </c>
      <c r="N144">
        <v>2</v>
      </c>
      <c r="O144" t="s">
        <v>13</v>
      </c>
      <c r="P144">
        <v>27</v>
      </c>
      <c r="Q144" t="s">
        <v>16</v>
      </c>
      <c r="R144" t="s">
        <v>17</v>
      </c>
      <c r="S144" t="b">
        <v>1</v>
      </c>
      <c r="T144">
        <v>3</v>
      </c>
      <c r="U144" t="s">
        <v>25</v>
      </c>
      <c r="V144" t="s">
        <v>17</v>
      </c>
      <c r="W144">
        <f t="shared" si="5"/>
        <v>6</v>
      </c>
      <c r="X144" t="s">
        <v>335</v>
      </c>
    </row>
    <row r="145" spans="1:24" x14ac:dyDescent="0.3">
      <c r="A145" s="4">
        <v>44490</v>
      </c>
      <c r="B145" t="s">
        <v>451</v>
      </c>
      <c r="C145" s="3">
        <v>18554</v>
      </c>
      <c r="D145">
        <v>2016</v>
      </c>
      <c r="E145" t="s">
        <v>63</v>
      </c>
      <c r="F145" t="s">
        <v>452</v>
      </c>
      <c r="G145" t="s">
        <v>453</v>
      </c>
      <c r="H145" t="s">
        <v>395</v>
      </c>
      <c r="I145" s="6">
        <v>65441</v>
      </c>
      <c r="J145" t="b">
        <v>0</v>
      </c>
      <c r="K145" t="s">
        <v>8</v>
      </c>
      <c r="L145" t="s">
        <v>30</v>
      </c>
      <c r="M145">
        <v>288</v>
      </c>
      <c r="N145">
        <v>3.5</v>
      </c>
      <c r="O145" t="s">
        <v>58</v>
      </c>
      <c r="P145">
        <v>22</v>
      </c>
      <c r="Q145" t="s">
        <v>16</v>
      </c>
      <c r="R145" t="s">
        <v>17</v>
      </c>
      <c r="S145" t="b">
        <v>0</v>
      </c>
      <c r="T145">
        <v>1</v>
      </c>
      <c r="U145" t="s">
        <v>17</v>
      </c>
      <c r="V145" t="s">
        <v>17</v>
      </c>
      <c r="W145">
        <f t="shared" si="5"/>
        <v>5</v>
      </c>
      <c r="X145" t="s">
        <v>335</v>
      </c>
    </row>
    <row r="146" spans="1:24" x14ac:dyDescent="0.3">
      <c r="A146" s="4">
        <v>44490</v>
      </c>
      <c r="B146" t="s">
        <v>532</v>
      </c>
      <c r="C146" s="3">
        <v>29198</v>
      </c>
      <c r="D146">
        <v>2017</v>
      </c>
      <c r="E146" t="s">
        <v>469</v>
      </c>
      <c r="F146" t="s">
        <v>533</v>
      </c>
      <c r="G146" t="s">
        <v>534</v>
      </c>
      <c r="H146" t="s">
        <v>395</v>
      </c>
      <c r="I146" s="6">
        <v>20743</v>
      </c>
      <c r="J146" t="b">
        <v>0</v>
      </c>
      <c r="K146" t="s">
        <v>36</v>
      </c>
      <c r="L146" t="s">
        <v>30</v>
      </c>
      <c r="M146">
        <v>311</v>
      </c>
      <c r="N146">
        <v>3.8</v>
      </c>
      <c r="O146" t="s">
        <v>58</v>
      </c>
      <c r="P146">
        <v>23</v>
      </c>
      <c r="Q146" t="s">
        <v>16</v>
      </c>
      <c r="R146" t="s">
        <v>17</v>
      </c>
      <c r="S146" t="b">
        <v>0</v>
      </c>
      <c r="T146">
        <v>1</v>
      </c>
      <c r="U146" t="s">
        <v>17</v>
      </c>
      <c r="V146" t="s">
        <v>17</v>
      </c>
      <c r="W146">
        <f t="shared" si="5"/>
        <v>4</v>
      </c>
      <c r="X146" t="s">
        <v>537</v>
      </c>
    </row>
    <row r="147" spans="1:24" x14ac:dyDescent="0.3">
      <c r="A147" s="4">
        <v>44490</v>
      </c>
      <c r="B147" t="s">
        <v>535</v>
      </c>
      <c r="C147" s="3">
        <v>28990</v>
      </c>
      <c r="D147">
        <v>2018</v>
      </c>
      <c r="E147" t="s">
        <v>469</v>
      </c>
      <c r="F147" t="s">
        <v>533</v>
      </c>
      <c r="G147" t="s">
        <v>534</v>
      </c>
      <c r="H147" t="s">
        <v>395</v>
      </c>
      <c r="I147" s="6">
        <v>44068</v>
      </c>
      <c r="J147" t="b">
        <v>0</v>
      </c>
      <c r="K147" t="s">
        <v>36</v>
      </c>
      <c r="L147" t="s">
        <v>30</v>
      </c>
      <c r="M147">
        <v>311</v>
      </c>
      <c r="N147">
        <v>3.8</v>
      </c>
      <c r="O147" t="s">
        <v>58</v>
      </c>
      <c r="P147">
        <v>23</v>
      </c>
      <c r="Q147" t="s">
        <v>16</v>
      </c>
      <c r="R147" t="s">
        <v>17</v>
      </c>
      <c r="S147" t="b">
        <v>0</v>
      </c>
      <c r="T147">
        <v>1</v>
      </c>
      <c r="U147" t="s">
        <v>17</v>
      </c>
      <c r="V147" t="s">
        <v>17</v>
      </c>
      <c r="W147">
        <f t="shared" si="5"/>
        <v>3</v>
      </c>
      <c r="X147" t="s">
        <v>537</v>
      </c>
    </row>
    <row r="148" spans="1:24" x14ac:dyDescent="0.3">
      <c r="A148" s="4">
        <v>44490</v>
      </c>
      <c r="B148" t="s">
        <v>536</v>
      </c>
      <c r="C148" s="3">
        <v>25990</v>
      </c>
      <c r="D148">
        <v>2018</v>
      </c>
      <c r="E148" t="s">
        <v>469</v>
      </c>
      <c r="F148" t="s">
        <v>533</v>
      </c>
      <c r="G148" t="s">
        <v>534</v>
      </c>
      <c r="H148" t="s">
        <v>395</v>
      </c>
      <c r="I148" s="6">
        <v>72770</v>
      </c>
      <c r="J148" t="b">
        <v>0</v>
      </c>
      <c r="K148" t="s">
        <v>36</v>
      </c>
      <c r="L148" t="s">
        <v>30</v>
      </c>
      <c r="M148">
        <v>311</v>
      </c>
      <c r="N148">
        <v>3.8</v>
      </c>
      <c r="O148" t="s">
        <v>58</v>
      </c>
      <c r="P148">
        <v>23</v>
      </c>
      <c r="Q148" t="s">
        <v>16</v>
      </c>
      <c r="R148" t="s">
        <v>17</v>
      </c>
      <c r="S148" t="b">
        <v>0</v>
      </c>
      <c r="T148">
        <v>2</v>
      </c>
      <c r="U148" t="s">
        <v>17</v>
      </c>
      <c r="V148" t="s">
        <v>17</v>
      </c>
      <c r="W148">
        <f t="shared" si="5"/>
        <v>3</v>
      </c>
      <c r="X148" t="s">
        <v>537</v>
      </c>
    </row>
    <row r="149" spans="1:24" x14ac:dyDescent="0.3">
      <c r="A149" s="4">
        <v>44490</v>
      </c>
      <c r="B149" t="s">
        <v>417</v>
      </c>
      <c r="C149" s="3">
        <v>10495</v>
      </c>
      <c r="D149">
        <v>2015</v>
      </c>
      <c r="E149" t="s">
        <v>168</v>
      </c>
      <c r="F149" t="s">
        <v>195</v>
      </c>
      <c r="G149" t="s">
        <v>287</v>
      </c>
      <c r="H149" t="s">
        <v>395</v>
      </c>
      <c r="I149" s="6">
        <v>148125</v>
      </c>
      <c r="J149" t="b">
        <v>0</v>
      </c>
      <c r="K149" t="s">
        <v>8</v>
      </c>
      <c r="L149" t="s">
        <v>30</v>
      </c>
      <c r="M149">
        <v>185</v>
      </c>
      <c r="N149">
        <v>2.4</v>
      </c>
      <c r="O149" t="s">
        <v>13</v>
      </c>
      <c r="P149">
        <v>31</v>
      </c>
      <c r="Q149" t="s">
        <v>16</v>
      </c>
      <c r="R149" t="s">
        <v>25</v>
      </c>
      <c r="S149" t="b">
        <v>1</v>
      </c>
      <c r="T149">
        <v>3</v>
      </c>
      <c r="U149" t="s">
        <v>17</v>
      </c>
      <c r="V149" t="s">
        <v>17</v>
      </c>
      <c r="W149">
        <f t="shared" si="5"/>
        <v>6</v>
      </c>
      <c r="X149" t="s">
        <v>333</v>
      </c>
    </row>
    <row r="150" spans="1:24" x14ac:dyDescent="0.3">
      <c r="A150" s="4">
        <v>44490</v>
      </c>
      <c r="B150" t="s">
        <v>432</v>
      </c>
      <c r="C150" s="3">
        <v>19999</v>
      </c>
      <c r="D150">
        <v>2019</v>
      </c>
      <c r="E150" t="s">
        <v>168</v>
      </c>
      <c r="F150" t="s">
        <v>169</v>
      </c>
      <c r="G150" t="s">
        <v>198</v>
      </c>
      <c r="H150" t="s">
        <v>395</v>
      </c>
      <c r="I150" s="6">
        <v>32268</v>
      </c>
      <c r="J150" t="b">
        <v>0</v>
      </c>
      <c r="K150" t="s">
        <v>8</v>
      </c>
      <c r="L150" t="s">
        <v>30</v>
      </c>
      <c r="M150">
        <v>158</v>
      </c>
      <c r="N150">
        <v>2</v>
      </c>
      <c r="O150" t="s">
        <v>13</v>
      </c>
      <c r="P150">
        <v>33</v>
      </c>
      <c r="Q150" t="s">
        <v>16</v>
      </c>
      <c r="R150" t="s">
        <v>17</v>
      </c>
      <c r="S150" t="b">
        <v>1</v>
      </c>
      <c r="T150">
        <v>1</v>
      </c>
      <c r="U150" t="s">
        <v>17</v>
      </c>
      <c r="V150" t="s">
        <v>17</v>
      </c>
      <c r="W150">
        <f t="shared" si="5"/>
        <v>2</v>
      </c>
      <c r="X150" t="s">
        <v>333</v>
      </c>
    </row>
    <row r="151" spans="1:24" x14ac:dyDescent="0.3">
      <c r="A151" s="4">
        <v>44490</v>
      </c>
      <c r="B151" t="s">
        <v>404</v>
      </c>
      <c r="C151" s="3">
        <v>21950</v>
      </c>
      <c r="D151">
        <v>2019</v>
      </c>
      <c r="E151" t="s">
        <v>168</v>
      </c>
      <c r="F151" t="s">
        <v>169</v>
      </c>
      <c r="G151" t="s">
        <v>170</v>
      </c>
      <c r="H151" t="s">
        <v>395</v>
      </c>
      <c r="I151" s="6">
        <v>39450</v>
      </c>
      <c r="J151" t="b">
        <v>0</v>
      </c>
      <c r="K151" t="s">
        <v>8</v>
      </c>
      <c r="L151" t="s">
        <v>30</v>
      </c>
      <c r="M151">
        <v>158</v>
      </c>
      <c r="N151">
        <v>2</v>
      </c>
      <c r="O151" t="s">
        <v>13</v>
      </c>
      <c r="P151">
        <v>34</v>
      </c>
      <c r="Q151" t="s">
        <v>16</v>
      </c>
      <c r="R151" t="s">
        <v>17</v>
      </c>
      <c r="S151" t="b">
        <v>0</v>
      </c>
      <c r="T151">
        <v>1</v>
      </c>
      <c r="U151" t="s">
        <v>17</v>
      </c>
      <c r="V151" t="s">
        <v>17</v>
      </c>
      <c r="W151">
        <f t="shared" ref="W151:W182" si="6">2021-D151</f>
        <v>2</v>
      </c>
      <c r="X151" t="s">
        <v>333</v>
      </c>
    </row>
    <row r="152" spans="1:24" x14ac:dyDescent="0.3">
      <c r="A152" s="4">
        <v>44490</v>
      </c>
      <c r="B152" t="s">
        <v>410</v>
      </c>
      <c r="C152" s="3">
        <v>13450</v>
      </c>
      <c r="D152">
        <v>2017</v>
      </c>
      <c r="E152" t="s">
        <v>177</v>
      </c>
      <c r="F152" t="s">
        <v>411</v>
      </c>
      <c r="G152" t="s">
        <v>204</v>
      </c>
      <c r="H152" t="s">
        <v>395</v>
      </c>
      <c r="I152" s="6">
        <v>47112</v>
      </c>
      <c r="J152" t="b">
        <v>0</v>
      </c>
      <c r="K152" t="s">
        <v>8</v>
      </c>
      <c r="L152" t="s">
        <v>30</v>
      </c>
      <c r="M152">
        <v>147</v>
      </c>
      <c r="N152">
        <v>2</v>
      </c>
      <c r="O152" t="s">
        <v>13</v>
      </c>
      <c r="P152">
        <v>32</v>
      </c>
      <c r="Q152" t="s">
        <v>16</v>
      </c>
      <c r="R152" t="s">
        <v>17</v>
      </c>
      <c r="S152" t="b">
        <v>0</v>
      </c>
      <c r="T152">
        <v>2</v>
      </c>
      <c r="U152" t="s">
        <v>17</v>
      </c>
      <c r="V152" t="s">
        <v>17</v>
      </c>
      <c r="W152">
        <f t="shared" si="6"/>
        <v>4</v>
      </c>
      <c r="X152" t="s">
        <v>537</v>
      </c>
    </row>
    <row r="153" spans="1:24" x14ac:dyDescent="0.3">
      <c r="A153" s="4">
        <v>44490</v>
      </c>
      <c r="B153" t="s">
        <v>468</v>
      </c>
      <c r="C153" s="3">
        <v>13995</v>
      </c>
      <c r="D153">
        <v>2015</v>
      </c>
      <c r="E153" t="s">
        <v>177</v>
      </c>
      <c r="F153" t="s">
        <v>469</v>
      </c>
      <c r="G153">
        <v>3.8</v>
      </c>
      <c r="H153" t="s">
        <v>395</v>
      </c>
      <c r="I153" s="6">
        <v>101000</v>
      </c>
      <c r="J153" t="b">
        <v>0</v>
      </c>
      <c r="K153" t="s">
        <v>36</v>
      </c>
      <c r="L153" t="s">
        <v>30</v>
      </c>
      <c r="M153">
        <v>311</v>
      </c>
      <c r="N153">
        <v>3.8</v>
      </c>
      <c r="O153" t="s">
        <v>58</v>
      </c>
      <c r="P153">
        <v>23</v>
      </c>
      <c r="Q153" t="s">
        <v>16</v>
      </c>
      <c r="R153" t="s">
        <v>25</v>
      </c>
      <c r="S153" t="b">
        <v>0</v>
      </c>
      <c r="T153">
        <v>3</v>
      </c>
      <c r="U153" t="s">
        <v>17</v>
      </c>
      <c r="V153" t="s">
        <v>17</v>
      </c>
      <c r="W153">
        <f t="shared" si="6"/>
        <v>6</v>
      </c>
      <c r="X153" t="s">
        <v>537</v>
      </c>
    </row>
    <row r="154" spans="1:24" x14ac:dyDescent="0.3">
      <c r="A154" s="4">
        <v>44490</v>
      </c>
      <c r="B154" t="s">
        <v>494</v>
      </c>
      <c r="C154" s="3">
        <v>14991</v>
      </c>
      <c r="D154">
        <v>2013</v>
      </c>
      <c r="E154" t="s">
        <v>177</v>
      </c>
      <c r="F154" t="s">
        <v>495</v>
      </c>
      <c r="G154" t="s">
        <v>496</v>
      </c>
      <c r="H154" t="s">
        <v>395</v>
      </c>
      <c r="I154" s="6">
        <v>80638</v>
      </c>
      <c r="J154" t="b">
        <v>0</v>
      </c>
      <c r="K154" t="s">
        <v>36</v>
      </c>
      <c r="L154" t="s">
        <v>30</v>
      </c>
      <c r="M154">
        <v>429</v>
      </c>
      <c r="N154">
        <v>5</v>
      </c>
      <c r="O154" t="s">
        <v>74</v>
      </c>
      <c r="P154">
        <v>19</v>
      </c>
      <c r="Q154" t="s">
        <v>16</v>
      </c>
      <c r="R154" t="s">
        <v>17</v>
      </c>
      <c r="S154" t="b">
        <v>0</v>
      </c>
      <c r="T154">
        <v>2</v>
      </c>
      <c r="U154" t="s">
        <v>17</v>
      </c>
      <c r="V154" t="s">
        <v>17</v>
      </c>
      <c r="W154">
        <f t="shared" si="6"/>
        <v>8</v>
      </c>
      <c r="X154" t="s">
        <v>537</v>
      </c>
    </row>
    <row r="155" spans="1:24" x14ac:dyDescent="0.3">
      <c r="A155" s="4">
        <v>44490</v>
      </c>
      <c r="B155" t="s">
        <v>497</v>
      </c>
      <c r="C155" s="3">
        <v>14000</v>
      </c>
      <c r="D155">
        <v>2013</v>
      </c>
      <c r="E155" t="s">
        <v>177</v>
      </c>
      <c r="F155" t="s">
        <v>495</v>
      </c>
      <c r="G155" t="s">
        <v>496</v>
      </c>
      <c r="H155" t="s">
        <v>395</v>
      </c>
      <c r="I155" s="6">
        <v>94563</v>
      </c>
      <c r="J155" t="b">
        <v>0</v>
      </c>
      <c r="K155" t="s">
        <v>36</v>
      </c>
      <c r="L155" t="s">
        <v>30</v>
      </c>
      <c r="M155">
        <v>429</v>
      </c>
      <c r="N155">
        <v>5</v>
      </c>
      <c r="O155" t="s">
        <v>74</v>
      </c>
      <c r="P155">
        <v>19</v>
      </c>
      <c r="Q155" t="s">
        <v>16</v>
      </c>
      <c r="R155" t="s">
        <v>17</v>
      </c>
      <c r="S155" t="b">
        <v>0</v>
      </c>
      <c r="T155">
        <v>1</v>
      </c>
      <c r="U155" t="s">
        <v>17</v>
      </c>
      <c r="V155" t="s">
        <v>17</v>
      </c>
      <c r="W155">
        <f t="shared" si="6"/>
        <v>8</v>
      </c>
      <c r="X155" t="s">
        <v>537</v>
      </c>
    </row>
    <row r="156" spans="1:24" x14ac:dyDescent="0.3">
      <c r="A156" s="4">
        <v>44490</v>
      </c>
      <c r="B156" t="s">
        <v>521</v>
      </c>
      <c r="C156" s="3">
        <v>14991</v>
      </c>
      <c r="D156">
        <v>2012</v>
      </c>
      <c r="E156" t="s">
        <v>177</v>
      </c>
      <c r="F156" t="s">
        <v>469</v>
      </c>
      <c r="G156" s="13" t="s">
        <v>522</v>
      </c>
      <c r="H156" t="s">
        <v>395</v>
      </c>
      <c r="I156" s="6">
        <v>50405</v>
      </c>
      <c r="J156" t="b">
        <v>0</v>
      </c>
      <c r="K156" t="s">
        <v>36</v>
      </c>
      <c r="L156" t="s">
        <v>30</v>
      </c>
      <c r="M156">
        <v>429</v>
      </c>
      <c r="N156">
        <v>5</v>
      </c>
      <c r="O156" t="s">
        <v>74</v>
      </c>
      <c r="P156">
        <v>21</v>
      </c>
      <c r="Q156" t="s">
        <v>16</v>
      </c>
      <c r="R156" t="s">
        <v>17</v>
      </c>
      <c r="S156" t="b">
        <v>0</v>
      </c>
      <c r="T156">
        <v>2</v>
      </c>
      <c r="U156" t="s">
        <v>17</v>
      </c>
      <c r="V156" t="s">
        <v>17</v>
      </c>
      <c r="W156">
        <f t="shared" si="6"/>
        <v>9</v>
      </c>
      <c r="X156" t="s">
        <v>537</v>
      </c>
    </row>
    <row r="157" spans="1:24" x14ac:dyDescent="0.3">
      <c r="A157" s="4">
        <v>44490</v>
      </c>
      <c r="B157" t="s">
        <v>429</v>
      </c>
      <c r="C157" s="3">
        <v>8900</v>
      </c>
      <c r="D157">
        <v>2014</v>
      </c>
      <c r="E157" t="s">
        <v>177</v>
      </c>
      <c r="F157" t="s">
        <v>430</v>
      </c>
      <c r="G157" t="s">
        <v>431</v>
      </c>
      <c r="H157" t="s">
        <v>395</v>
      </c>
      <c r="I157" s="6">
        <v>94033</v>
      </c>
      <c r="J157" t="b">
        <v>0</v>
      </c>
      <c r="K157" t="s">
        <v>8</v>
      </c>
      <c r="L157" t="s">
        <v>30</v>
      </c>
      <c r="M157">
        <v>198</v>
      </c>
      <c r="N157">
        <v>2.4</v>
      </c>
      <c r="O157" t="s">
        <v>13</v>
      </c>
      <c r="P157">
        <v>29</v>
      </c>
      <c r="Q157" t="s">
        <v>16</v>
      </c>
      <c r="R157" t="s">
        <v>25</v>
      </c>
      <c r="S157" t="b">
        <v>1</v>
      </c>
      <c r="T157">
        <v>5</v>
      </c>
      <c r="U157" t="s">
        <v>17</v>
      </c>
      <c r="V157" t="s">
        <v>17</v>
      </c>
      <c r="W157">
        <f t="shared" si="6"/>
        <v>7</v>
      </c>
      <c r="X157" t="s">
        <v>537</v>
      </c>
    </row>
    <row r="158" spans="1:24" x14ac:dyDescent="0.3">
      <c r="A158" s="4">
        <v>44490</v>
      </c>
      <c r="B158" t="s">
        <v>456</v>
      </c>
      <c r="C158" s="3">
        <v>18999</v>
      </c>
      <c r="D158">
        <v>2015</v>
      </c>
      <c r="E158" t="s">
        <v>60</v>
      </c>
      <c r="F158" t="s">
        <v>457</v>
      </c>
      <c r="G158" t="s">
        <v>458</v>
      </c>
      <c r="H158" t="s">
        <v>395</v>
      </c>
      <c r="I158" s="6">
        <v>62035</v>
      </c>
      <c r="J158" t="b">
        <v>0</v>
      </c>
      <c r="K158" t="s">
        <v>36</v>
      </c>
      <c r="L158" t="s">
        <v>30</v>
      </c>
      <c r="M158">
        <v>328</v>
      </c>
      <c r="N158">
        <v>3.7</v>
      </c>
      <c r="O158" t="s">
        <v>58</v>
      </c>
      <c r="P158">
        <v>24</v>
      </c>
      <c r="Q158" t="s">
        <v>16</v>
      </c>
      <c r="R158" t="s">
        <v>17</v>
      </c>
      <c r="S158" t="b">
        <v>1</v>
      </c>
      <c r="T158">
        <v>4</v>
      </c>
      <c r="U158" t="s">
        <v>17</v>
      </c>
      <c r="V158" t="s">
        <v>17</v>
      </c>
      <c r="W158">
        <f t="shared" si="6"/>
        <v>6</v>
      </c>
      <c r="X158" t="s">
        <v>333</v>
      </c>
    </row>
    <row r="159" spans="1:24" x14ac:dyDescent="0.3">
      <c r="A159" s="4">
        <v>44490</v>
      </c>
      <c r="B159" t="s">
        <v>482</v>
      </c>
      <c r="C159" s="3">
        <v>20995</v>
      </c>
      <c r="D159">
        <v>2011</v>
      </c>
      <c r="E159" t="s">
        <v>128</v>
      </c>
      <c r="F159" t="s">
        <v>467</v>
      </c>
      <c r="G159" t="s">
        <v>483</v>
      </c>
      <c r="H159" t="s">
        <v>395</v>
      </c>
      <c r="I159" s="6">
        <v>66681</v>
      </c>
      <c r="J159" t="b">
        <v>0</v>
      </c>
      <c r="K159" t="s">
        <v>36</v>
      </c>
      <c r="L159" t="s">
        <v>30</v>
      </c>
      <c r="M159">
        <v>510</v>
      </c>
      <c r="N159">
        <v>5</v>
      </c>
      <c r="O159" t="s">
        <v>74</v>
      </c>
      <c r="P159">
        <v>18</v>
      </c>
      <c r="Q159" t="s">
        <v>16</v>
      </c>
      <c r="R159" t="s">
        <v>17</v>
      </c>
      <c r="S159" t="b">
        <v>1</v>
      </c>
      <c r="T159">
        <v>2</v>
      </c>
      <c r="U159" t="s">
        <v>17</v>
      </c>
      <c r="V159" t="s">
        <v>17</v>
      </c>
      <c r="W159">
        <f t="shared" si="6"/>
        <v>10</v>
      </c>
      <c r="X159" t="s">
        <v>337</v>
      </c>
    </row>
    <row r="160" spans="1:24" x14ac:dyDescent="0.3">
      <c r="A160" s="4">
        <v>44490</v>
      </c>
      <c r="B160" t="s">
        <v>501</v>
      </c>
      <c r="C160" s="3">
        <v>8995</v>
      </c>
      <c r="D160">
        <v>2009</v>
      </c>
      <c r="E160" t="s">
        <v>128</v>
      </c>
      <c r="F160" t="s">
        <v>463</v>
      </c>
      <c r="G160" t="s">
        <v>45</v>
      </c>
      <c r="H160" t="s">
        <v>395</v>
      </c>
      <c r="I160" s="6">
        <v>90829</v>
      </c>
      <c r="J160" t="b">
        <v>0</v>
      </c>
      <c r="K160" t="s">
        <v>36</v>
      </c>
      <c r="L160" t="s">
        <v>30</v>
      </c>
      <c r="M160">
        <v>420</v>
      </c>
      <c r="N160">
        <v>4.2</v>
      </c>
      <c r="O160" t="s">
        <v>74</v>
      </c>
      <c r="P160">
        <v>19</v>
      </c>
      <c r="Q160" t="s">
        <v>16</v>
      </c>
      <c r="R160" t="s">
        <v>17</v>
      </c>
      <c r="S160" t="b">
        <v>1</v>
      </c>
      <c r="T160">
        <v>4</v>
      </c>
      <c r="U160" t="s">
        <v>17</v>
      </c>
      <c r="V160" t="s">
        <v>17</v>
      </c>
      <c r="W160">
        <f t="shared" si="6"/>
        <v>12</v>
      </c>
      <c r="X160" t="s">
        <v>337</v>
      </c>
    </row>
    <row r="161" spans="1:24" x14ac:dyDescent="0.3">
      <c r="A161" s="4">
        <v>44490</v>
      </c>
      <c r="B161" t="s">
        <v>526</v>
      </c>
      <c r="C161" s="3">
        <v>13999</v>
      </c>
      <c r="D161">
        <v>2009</v>
      </c>
      <c r="E161" t="s">
        <v>128</v>
      </c>
      <c r="F161" t="s">
        <v>463</v>
      </c>
      <c r="G161" t="s">
        <v>527</v>
      </c>
      <c r="H161" t="s">
        <v>395</v>
      </c>
      <c r="I161" s="6">
        <v>49500</v>
      </c>
      <c r="J161" t="b">
        <v>0</v>
      </c>
      <c r="K161" t="s">
        <v>36</v>
      </c>
      <c r="L161" t="s">
        <v>30</v>
      </c>
      <c r="M161">
        <v>300</v>
      </c>
      <c r="N161">
        <v>4.2</v>
      </c>
      <c r="O161" t="s">
        <v>74</v>
      </c>
      <c r="P161">
        <v>20</v>
      </c>
      <c r="Q161" t="s">
        <v>16</v>
      </c>
      <c r="R161" t="s">
        <v>17</v>
      </c>
      <c r="S161" t="b">
        <v>0</v>
      </c>
      <c r="T161">
        <v>3</v>
      </c>
      <c r="U161" t="s">
        <v>17</v>
      </c>
      <c r="V161" t="s">
        <v>17</v>
      </c>
      <c r="W161">
        <f t="shared" si="6"/>
        <v>12</v>
      </c>
      <c r="X161" t="s">
        <v>337</v>
      </c>
    </row>
    <row r="162" spans="1:24" x14ac:dyDescent="0.3">
      <c r="A162" s="4">
        <v>44490</v>
      </c>
      <c r="B162" t="s">
        <v>462</v>
      </c>
      <c r="C162" s="3">
        <v>16950</v>
      </c>
      <c r="D162">
        <v>2017</v>
      </c>
      <c r="E162" t="s">
        <v>128</v>
      </c>
      <c r="F162" t="s">
        <v>463</v>
      </c>
      <c r="G162" t="s">
        <v>464</v>
      </c>
      <c r="H162" t="s">
        <v>395</v>
      </c>
      <c r="I162" s="6">
        <v>70272</v>
      </c>
      <c r="J162" t="b">
        <v>0</v>
      </c>
      <c r="K162" t="s">
        <v>36</v>
      </c>
      <c r="L162" t="s">
        <v>30</v>
      </c>
      <c r="M162">
        <v>340</v>
      </c>
      <c r="N162">
        <v>3</v>
      </c>
      <c r="O162" t="s">
        <v>58</v>
      </c>
      <c r="P162">
        <v>24</v>
      </c>
      <c r="Q162" t="s">
        <v>16</v>
      </c>
      <c r="R162" t="s">
        <v>25</v>
      </c>
      <c r="S162" t="b">
        <v>1</v>
      </c>
      <c r="T162">
        <v>2</v>
      </c>
      <c r="U162" t="s">
        <v>25</v>
      </c>
      <c r="V162" t="s">
        <v>17</v>
      </c>
      <c r="W162">
        <f t="shared" si="6"/>
        <v>4</v>
      </c>
      <c r="X162" t="s">
        <v>337</v>
      </c>
    </row>
    <row r="163" spans="1:24" x14ac:dyDescent="0.3">
      <c r="A163" s="4">
        <v>44490</v>
      </c>
      <c r="B163" t="s">
        <v>398</v>
      </c>
      <c r="C163" s="3">
        <v>20232</v>
      </c>
      <c r="D163">
        <v>2018</v>
      </c>
      <c r="E163" t="s">
        <v>399</v>
      </c>
      <c r="F163" t="s">
        <v>400</v>
      </c>
      <c r="G163" t="s">
        <v>173</v>
      </c>
      <c r="H163" t="s">
        <v>395</v>
      </c>
      <c r="I163" s="6">
        <v>71159</v>
      </c>
      <c r="J163" t="b">
        <v>0</v>
      </c>
      <c r="K163" t="s">
        <v>8</v>
      </c>
      <c r="L163" t="s">
        <v>30</v>
      </c>
      <c r="M163">
        <v>185</v>
      </c>
      <c r="N163">
        <v>2.4</v>
      </c>
      <c r="O163" t="s">
        <v>13</v>
      </c>
      <c r="P163">
        <v>29</v>
      </c>
      <c r="Q163" t="s">
        <v>16</v>
      </c>
      <c r="R163" t="s">
        <v>17</v>
      </c>
      <c r="S163" t="b">
        <v>0</v>
      </c>
      <c r="T163">
        <v>1</v>
      </c>
      <c r="U163" t="s">
        <v>17</v>
      </c>
      <c r="V163" t="s">
        <v>17</v>
      </c>
      <c r="W163">
        <f t="shared" si="6"/>
        <v>3</v>
      </c>
      <c r="X163" t="s">
        <v>537</v>
      </c>
    </row>
    <row r="164" spans="1:24" x14ac:dyDescent="0.3">
      <c r="A164" s="4">
        <v>44490</v>
      </c>
      <c r="B164" t="s">
        <v>513</v>
      </c>
      <c r="C164" s="3">
        <v>21335</v>
      </c>
      <c r="D164">
        <v>2015</v>
      </c>
      <c r="E164" t="s">
        <v>399</v>
      </c>
      <c r="F164" t="s">
        <v>514</v>
      </c>
      <c r="G164" t="s">
        <v>277</v>
      </c>
      <c r="H164" t="s">
        <v>395</v>
      </c>
      <c r="I164" s="6">
        <v>74164</v>
      </c>
      <c r="J164" t="b">
        <v>0</v>
      </c>
      <c r="K164" t="s">
        <v>36</v>
      </c>
      <c r="L164" t="s">
        <v>30</v>
      </c>
      <c r="M164">
        <v>420</v>
      </c>
      <c r="N164">
        <v>5</v>
      </c>
      <c r="O164" t="s">
        <v>74</v>
      </c>
      <c r="P164">
        <v>19</v>
      </c>
      <c r="Q164" t="s">
        <v>16</v>
      </c>
      <c r="R164" t="s">
        <v>17</v>
      </c>
      <c r="S164" t="b">
        <v>0</v>
      </c>
      <c r="T164">
        <v>2</v>
      </c>
      <c r="U164" t="s">
        <v>17</v>
      </c>
      <c r="V164" t="s">
        <v>17</v>
      </c>
      <c r="W164">
        <f t="shared" si="6"/>
        <v>6</v>
      </c>
      <c r="X164" t="s">
        <v>537</v>
      </c>
    </row>
    <row r="165" spans="1:24" x14ac:dyDescent="0.3">
      <c r="A165" s="4">
        <v>44490</v>
      </c>
      <c r="B165" t="s">
        <v>523</v>
      </c>
      <c r="C165" s="3">
        <v>13900</v>
      </c>
      <c r="D165">
        <v>2015</v>
      </c>
      <c r="E165" t="s">
        <v>399</v>
      </c>
      <c r="F165" t="s">
        <v>514</v>
      </c>
      <c r="G165" t="s">
        <v>277</v>
      </c>
      <c r="H165" t="s">
        <v>395</v>
      </c>
      <c r="I165" s="6">
        <v>154498</v>
      </c>
      <c r="J165" t="b">
        <v>0</v>
      </c>
      <c r="K165" t="s">
        <v>36</v>
      </c>
      <c r="L165" t="s">
        <v>30</v>
      </c>
      <c r="M165">
        <v>420</v>
      </c>
      <c r="N165">
        <v>5</v>
      </c>
      <c r="O165" t="s">
        <v>74</v>
      </c>
      <c r="P165">
        <v>19</v>
      </c>
      <c r="Q165" t="s">
        <v>16</v>
      </c>
      <c r="R165" t="s">
        <v>17</v>
      </c>
      <c r="S165" t="b">
        <v>0</v>
      </c>
      <c r="T165">
        <v>3</v>
      </c>
      <c r="U165" t="s">
        <v>17</v>
      </c>
      <c r="V165" t="s">
        <v>17</v>
      </c>
      <c r="W165">
        <f t="shared" si="6"/>
        <v>6</v>
      </c>
      <c r="X165" t="s">
        <v>537</v>
      </c>
    </row>
    <row r="166" spans="1:24" x14ac:dyDescent="0.3">
      <c r="A166" s="4">
        <v>44490</v>
      </c>
      <c r="B166" t="s">
        <v>415</v>
      </c>
      <c r="C166" s="3">
        <v>17000</v>
      </c>
      <c r="D166">
        <v>2016</v>
      </c>
      <c r="E166" t="s">
        <v>107</v>
      </c>
      <c r="F166" t="s">
        <v>416</v>
      </c>
      <c r="H166" t="s">
        <v>395</v>
      </c>
      <c r="I166" s="6">
        <v>92592</v>
      </c>
      <c r="J166" t="b">
        <v>0</v>
      </c>
      <c r="K166" t="s">
        <v>36</v>
      </c>
      <c r="L166" t="s">
        <v>30</v>
      </c>
      <c r="M166">
        <v>241</v>
      </c>
      <c r="N166">
        <v>2</v>
      </c>
      <c r="O166" t="s">
        <v>13</v>
      </c>
      <c r="P166">
        <v>27</v>
      </c>
      <c r="Q166" t="s">
        <v>16</v>
      </c>
      <c r="R166" t="s">
        <v>17</v>
      </c>
      <c r="S166" t="b">
        <v>1</v>
      </c>
      <c r="T166">
        <v>2</v>
      </c>
      <c r="U166" t="s">
        <v>17</v>
      </c>
      <c r="V166" t="s">
        <v>17</v>
      </c>
      <c r="W166">
        <f t="shared" si="6"/>
        <v>5</v>
      </c>
      <c r="X166" t="s">
        <v>333</v>
      </c>
    </row>
    <row r="167" spans="1:24" x14ac:dyDescent="0.3">
      <c r="A167" s="4">
        <v>44490</v>
      </c>
      <c r="B167" t="s">
        <v>509</v>
      </c>
      <c r="C167" s="3">
        <v>6995</v>
      </c>
      <c r="D167">
        <v>2004</v>
      </c>
      <c r="E167" t="s">
        <v>107</v>
      </c>
      <c r="F167" t="s">
        <v>488</v>
      </c>
      <c r="H167" t="s">
        <v>395</v>
      </c>
      <c r="I167" s="6">
        <v>171214</v>
      </c>
      <c r="J167" t="b">
        <v>0</v>
      </c>
      <c r="K167" t="s">
        <v>36</v>
      </c>
      <c r="L167" t="s">
        <v>30</v>
      </c>
      <c r="M167">
        <v>290</v>
      </c>
      <c r="N167">
        <v>4.3</v>
      </c>
      <c r="O167" t="s">
        <v>74</v>
      </c>
      <c r="P167">
        <v>19</v>
      </c>
      <c r="Q167" t="s">
        <v>16</v>
      </c>
      <c r="R167" t="s">
        <v>17</v>
      </c>
      <c r="S167" t="b">
        <v>1</v>
      </c>
      <c r="T167">
        <v>5</v>
      </c>
      <c r="U167" t="s">
        <v>17</v>
      </c>
      <c r="V167" t="s">
        <v>17</v>
      </c>
      <c r="W167">
        <f t="shared" si="6"/>
        <v>17</v>
      </c>
      <c r="X167" t="s">
        <v>333</v>
      </c>
    </row>
    <row r="168" spans="1:24" x14ac:dyDescent="0.3">
      <c r="A168" s="4">
        <v>44490</v>
      </c>
      <c r="B168" t="s">
        <v>446</v>
      </c>
      <c r="C168" s="3">
        <v>5995</v>
      </c>
      <c r="D168">
        <v>1998</v>
      </c>
      <c r="E168" t="s">
        <v>107</v>
      </c>
      <c r="F168" t="s">
        <v>447</v>
      </c>
      <c r="G168">
        <v>300</v>
      </c>
      <c r="H168" t="s">
        <v>395</v>
      </c>
      <c r="I168" s="6">
        <v>157800</v>
      </c>
      <c r="J168" t="b">
        <v>0</v>
      </c>
      <c r="K168" t="s">
        <v>36</v>
      </c>
      <c r="L168" t="s">
        <v>30</v>
      </c>
      <c r="M168">
        <v>225</v>
      </c>
      <c r="N168">
        <v>3</v>
      </c>
      <c r="O168" t="s">
        <v>49</v>
      </c>
      <c r="P168">
        <v>20</v>
      </c>
      <c r="Q168" t="s">
        <v>16</v>
      </c>
      <c r="R168" t="s">
        <v>17</v>
      </c>
      <c r="S168" t="b">
        <v>0</v>
      </c>
      <c r="T168">
        <v>3</v>
      </c>
      <c r="U168" t="s">
        <v>17</v>
      </c>
      <c r="V168" t="s">
        <v>17</v>
      </c>
      <c r="W168">
        <f t="shared" si="6"/>
        <v>23</v>
      </c>
      <c r="X168" t="s">
        <v>333</v>
      </c>
    </row>
    <row r="169" spans="1:24" x14ac:dyDescent="0.3">
      <c r="A169" s="4">
        <v>44490</v>
      </c>
      <c r="B169" t="s">
        <v>472</v>
      </c>
      <c r="C169" s="3">
        <v>14995</v>
      </c>
      <c r="D169">
        <v>2013</v>
      </c>
      <c r="E169" t="s">
        <v>107</v>
      </c>
      <c r="F169" t="s">
        <v>466</v>
      </c>
      <c r="H169" t="s">
        <v>395</v>
      </c>
      <c r="I169" s="6">
        <v>115440</v>
      </c>
      <c r="J169" t="b">
        <v>0</v>
      </c>
      <c r="K169" t="s">
        <v>8</v>
      </c>
      <c r="L169" t="s">
        <v>30</v>
      </c>
      <c r="M169">
        <v>268</v>
      </c>
      <c r="N169">
        <v>3.5</v>
      </c>
      <c r="O169" t="s">
        <v>58</v>
      </c>
      <c r="P169">
        <v>26</v>
      </c>
      <c r="Q169" t="s">
        <v>16</v>
      </c>
      <c r="R169" t="s">
        <v>17</v>
      </c>
      <c r="S169" t="b">
        <v>0</v>
      </c>
      <c r="T169">
        <v>3</v>
      </c>
      <c r="U169" t="s">
        <v>17</v>
      </c>
      <c r="V169" t="s">
        <v>17</v>
      </c>
      <c r="W169">
        <f t="shared" si="6"/>
        <v>8</v>
      </c>
      <c r="X169" t="s">
        <v>333</v>
      </c>
    </row>
    <row r="170" spans="1:24" x14ac:dyDescent="0.3">
      <c r="A170" s="4">
        <v>44490</v>
      </c>
      <c r="B170" t="s">
        <v>473</v>
      </c>
      <c r="C170" s="3">
        <v>14495</v>
      </c>
      <c r="D170">
        <v>2013</v>
      </c>
      <c r="E170" t="s">
        <v>107</v>
      </c>
      <c r="F170" t="s">
        <v>474</v>
      </c>
      <c r="H170" t="s">
        <v>395</v>
      </c>
      <c r="I170" s="6">
        <v>153437</v>
      </c>
      <c r="J170" t="b">
        <v>0</v>
      </c>
      <c r="K170" t="s">
        <v>36</v>
      </c>
      <c r="L170" t="s">
        <v>30</v>
      </c>
      <c r="M170">
        <v>306</v>
      </c>
      <c r="N170">
        <v>3.5</v>
      </c>
      <c r="O170" t="s">
        <v>58</v>
      </c>
      <c r="P170">
        <v>23</v>
      </c>
      <c r="Q170" t="s">
        <v>16</v>
      </c>
      <c r="R170" t="s">
        <v>17</v>
      </c>
      <c r="S170" t="b">
        <v>0</v>
      </c>
      <c r="T170">
        <v>2</v>
      </c>
      <c r="U170" t="s">
        <v>17</v>
      </c>
      <c r="V170" t="s">
        <v>17</v>
      </c>
      <c r="W170">
        <f t="shared" si="6"/>
        <v>8</v>
      </c>
      <c r="X170" t="s">
        <v>333</v>
      </c>
    </row>
    <row r="171" spans="1:24" x14ac:dyDescent="0.3">
      <c r="A171" s="4">
        <v>44490</v>
      </c>
      <c r="B171" t="s">
        <v>487</v>
      </c>
      <c r="C171" s="3">
        <v>9495</v>
      </c>
      <c r="D171">
        <v>2005</v>
      </c>
      <c r="E171" t="s">
        <v>107</v>
      </c>
      <c r="F171" t="s">
        <v>488</v>
      </c>
      <c r="H171" t="s">
        <v>395</v>
      </c>
      <c r="I171" s="6">
        <v>111781</v>
      </c>
      <c r="J171" t="b">
        <v>0</v>
      </c>
      <c r="K171" t="s">
        <v>36</v>
      </c>
      <c r="L171" t="s">
        <v>30</v>
      </c>
      <c r="M171">
        <v>290</v>
      </c>
      <c r="N171">
        <v>4.3</v>
      </c>
      <c r="O171" t="s">
        <v>74</v>
      </c>
      <c r="P171">
        <v>19</v>
      </c>
      <c r="Q171" t="s">
        <v>16</v>
      </c>
      <c r="R171" t="s">
        <v>17</v>
      </c>
      <c r="S171" t="b">
        <v>0</v>
      </c>
      <c r="T171">
        <v>3</v>
      </c>
      <c r="U171" t="s">
        <v>17</v>
      </c>
      <c r="V171" t="s">
        <v>25</v>
      </c>
      <c r="W171">
        <f t="shared" si="6"/>
        <v>16</v>
      </c>
      <c r="X171" t="s">
        <v>333</v>
      </c>
    </row>
    <row r="172" spans="1:24" x14ac:dyDescent="0.3">
      <c r="A172" s="4">
        <v>44490</v>
      </c>
      <c r="B172" t="s">
        <v>507</v>
      </c>
      <c r="C172" s="3">
        <v>9600</v>
      </c>
      <c r="D172">
        <v>2008</v>
      </c>
      <c r="E172" t="s">
        <v>107</v>
      </c>
      <c r="F172" t="s">
        <v>508</v>
      </c>
      <c r="H172" t="s">
        <v>395</v>
      </c>
      <c r="I172" s="6">
        <v>155000</v>
      </c>
      <c r="J172" t="b">
        <v>0</v>
      </c>
      <c r="K172" t="s">
        <v>36</v>
      </c>
      <c r="L172" t="s">
        <v>30</v>
      </c>
      <c r="M172">
        <v>380</v>
      </c>
      <c r="N172">
        <v>4.5999999999999996</v>
      </c>
      <c r="O172" t="s">
        <v>74</v>
      </c>
      <c r="P172">
        <v>20</v>
      </c>
      <c r="Q172" t="s">
        <v>16</v>
      </c>
      <c r="R172" t="s">
        <v>17</v>
      </c>
      <c r="S172" t="b">
        <v>0</v>
      </c>
      <c r="T172">
        <v>3</v>
      </c>
      <c r="U172" t="s">
        <v>17</v>
      </c>
      <c r="V172" t="s">
        <v>25</v>
      </c>
      <c r="W172">
        <f t="shared" si="6"/>
        <v>13</v>
      </c>
      <c r="X172" t="s">
        <v>333</v>
      </c>
    </row>
    <row r="173" spans="1:24" x14ac:dyDescent="0.3">
      <c r="A173" s="4">
        <v>44490</v>
      </c>
      <c r="B173" t="s">
        <v>515</v>
      </c>
      <c r="C173" s="3">
        <v>14995</v>
      </c>
      <c r="D173">
        <v>2007</v>
      </c>
      <c r="E173" t="s">
        <v>107</v>
      </c>
      <c r="F173" t="s">
        <v>508</v>
      </c>
      <c r="H173" t="s">
        <v>395</v>
      </c>
      <c r="I173" s="6">
        <v>76663</v>
      </c>
      <c r="J173" t="b">
        <v>0</v>
      </c>
      <c r="K173" t="s">
        <v>36</v>
      </c>
      <c r="L173" t="s">
        <v>30</v>
      </c>
      <c r="M173">
        <v>380</v>
      </c>
      <c r="N173">
        <v>4.5999999999999996</v>
      </c>
      <c r="O173" t="s">
        <v>74</v>
      </c>
      <c r="P173">
        <v>21</v>
      </c>
      <c r="Q173" t="s">
        <v>16</v>
      </c>
      <c r="R173" t="s">
        <v>17</v>
      </c>
      <c r="S173" t="b">
        <v>0</v>
      </c>
      <c r="T173">
        <v>1</v>
      </c>
      <c r="U173" t="s">
        <v>17</v>
      </c>
      <c r="V173" t="s">
        <v>17</v>
      </c>
      <c r="W173">
        <f t="shared" si="6"/>
        <v>14</v>
      </c>
      <c r="X173" t="s">
        <v>333</v>
      </c>
    </row>
    <row r="174" spans="1:24" x14ac:dyDescent="0.3">
      <c r="A174" s="4">
        <v>44490</v>
      </c>
      <c r="B174" t="s">
        <v>465</v>
      </c>
      <c r="C174" s="3">
        <v>6500</v>
      </c>
      <c r="D174">
        <v>2007</v>
      </c>
      <c r="E174" t="s">
        <v>107</v>
      </c>
      <c r="F174" t="s">
        <v>466</v>
      </c>
      <c r="H174" t="s">
        <v>395</v>
      </c>
      <c r="I174" s="6">
        <v>120030</v>
      </c>
      <c r="J174" t="b">
        <v>0</v>
      </c>
      <c r="K174" t="s">
        <v>8</v>
      </c>
      <c r="L174" t="s">
        <v>30</v>
      </c>
      <c r="M174">
        <v>272</v>
      </c>
      <c r="N174">
        <v>3.5</v>
      </c>
      <c r="O174" t="s">
        <v>58</v>
      </c>
      <c r="P174">
        <v>23</v>
      </c>
      <c r="Q174" t="s">
        <v>16</v>
      </c>
      <c r="R174" t="s">
        <v>25</v>
      </c>
      <c r="S174" t="b">
        <v>1</v>
      </c>
      <c r="T174">
        <v>4</v>
      </c>
      <c r="U174" t="s">
        <v>17</v>
      </c>
      <c r="V174" t="s">
        <v>17</v>
      </c>
      <c r="W174">
        <f t="shared" si="6"/>
        <v>14</v>
      </c>
      <c r="X174" t="s">
        <v>333</v>
      </c>
    </row>
    <row r="175" spans="1:24" x14ac:dyDescent="0.3">
      <c r="A175" s="4">
        <v>44490</v>
      </c>
      <c r="B175" t="s">
        <v>480</v>
      </c>
      <c r="C175" s="3">
        <v>4999</v>
      </c>
      <c r="D175">
        <v>2008</v>
      </c>
      <c r="E175" t="s">
        <v>264</v>
      </c>
      <c r="F175" t="s">
        <v>481</v>
      </c>
      <c r="H175" t="s">
        <v>395</v>
      </c>
      <c r="I175" s="6">
        <v>118033</v>
      </c>
      <c r="J175" t="b">
        <v>0</v>
      </c>
      <c r="K175" t="s">
        <v>8</v>
      </c>
      <c r="L175" t="s">
        <v>30</v>
      </c>
      <c r="M175">
        <v>263</v>
      </c>
      <c r="N175">
        <v>3.5</v>
      </c>
      <c r="O175" t="s">
        <v>58</v>
      </c>
      <c r="P175">
        <v>23</v>
      </c>
      <c r="Q175" t="s">
        <v>16</v>
      </c>
      <c r="R175" t="s">
        <v>17</v>
      </c>
      <c r="S175" t="b">
        <v>1</v>
      </c>
      <c r="T175">
        <v>2</v>
      </c>
      <c r="U175" t="s">
        <v>17</v>
      </c>
      <c r="V175" t="s">
        <v>17</v>
      </c>
      <c r="W175">
        <f t="shared" si="6"/>
        <v>13</v>
      </c>
      <c r="X175" t="s">
        <v>335</v>
      </c>
    </row>
    <row r="176" spans="1:24" x14ac:dyDescent="0.3">
      <c r="A176" s="4">
        <v>44490</v>
      </c>
      <c r="B176" t="s">
        <v>401</v>
      </c>
      <c r="C176" s="3">
        <v>18700</v>
      </c>
      <c r="D176">
        <v>2016</v>
      </c>
      <c r="E176" t="s">
        <v>92</v>
      </c>
      <c r="F176" t="s">
        <v>402</v>
      </c>
      <c r="G176" t="s">
        <v>403</v>
      </c>
      <c r="H176" t="s">
        <v>395</v>
      </c>
      <c r="I176" s="6">
        <v>64385</v>
      </c>
      <c r="J176" t="b">
        <v>0</v>
      </c>
      <c r="K176" t="s">
        <v>8</v>
      </c>
      <c r="L176" t="s">
        <v>30</v>
      </c>
      <c r="M176">
        <v>184</v>
      </c>
      <c r="N176">
        <v>2.5</v>
      </c>
      <c r="O176" t="s">
        <v>13</v>
      </c>
      <c r="P176">
        <v>31</v>
      </c>
      <c r="Q176" t="s">
        <v>16</v>
      </c>
      <c r="R176" t="s">
        <v>17</v>
      </c>
      <c r="S176" t="b">
        <v>1</v>
      </c>
      <c r="T176">
        <v>1</v>
      </c>
      <c r="U176" t="s">
        <v>17</v>
      </c>
      <c r="V176" t="s">
        <v>17</v>
      </c>
      <c r="W176">
        <f t="shared" si="6"/>
        <v>5</v>
      </c>
      <c r="X176" t="s">
        <v>333</v>
      </c>
    </row>
    <row r="177" spans="1:24" x14ac:dyDescent="0.3">
      <c r="A177" s="4">
        <v>44490</v>
      </c>
      <c r="B177" t="s">
        <v>470</v>
      </c>
      <c r="C177" s="3">
        <v>22998</v>
      </c>
      <c r="D177">
        <v>2014</v>
      </c>
      <c r="E177" t="s">
        <v>44</v>
      </c>
      <c r="F177" t="s">
        <v>214</v>
      </c>
      <c r="G177" t="s">
        <v>471</v>
      </c>
      <c r="H177" t="s">
        <v>395</v>
      </c>
      <c r="I177" s="6">
        <v>44523</v>
      </c>
      <c r="J177" t="b">
        <v>0</v>
      </c>
      <c r="K177" t="s">
        <v>36</v>
      </c>
      <c r="L177" t="s">
        <v>30</v>
      </c>
      <c r="M177">
        <v>302</v>
      </c>
      <c r="N177">
        <v>3.5</v>
      </c>
      <c r="O177" t="s">
        <v>58</v>
      </c>
      <c r="P177">
        <v>24</v>
      </c>
      <c r="Q177" t="s">
        <v>16</v>
      </c>
      <c r="R177" t="s">
        <v>17</v>
      </c>
      <c r="S177" t="b">
        <v>0</v>
      </c>
      <c r="T177">
        <v>2</v>
      </c>
      <c r="U177" t="s">
        <v>17</v>
      </c>
      <c r="V177" t="s">
        <v>17</v>
      </c>
      <c r="W177">
        <f t="shared" si="6"/>
        <v>7</v>
      </c>
      <c r="X177" t="s">
        <v>334</v>
      </c>
    </row>
    <row r="178" spans="1:24" x14ac:dyDescent="0.3">
      <c r="A178" s="4">
        <v>44490</v>
      </c>
      <c r="B178" t="s">
        <v>489</v>
      </c>
      <c r="C178" s="3">
        <v>6995</v>
      </c>
      <c r="D178">
        <v>2006</v>
      </c>
      <c r="E178" t="s">
        <v>44</v>
      </c>
      <c r="F178" t="s">
        <v>490</v>
      </c>
      <c r="G178" t="s">
        <v>491</v>
      </c>
      <c r="H178" t="s">
        <v>395</v>
      </c>
      <c r="I178" s="6">
        <v>139141</v>
      </c>
      <c r="J178" t="b">
        <v>0</v>
      </c>
      <c r="K178" t="s">
        <v>36</v>
      </c>
      <c r="L178" t="s">
        <v>30</v>
      </c>
      <c r="M178">
        <v>302</v>
      </c>
      <c r="N178">
        <v>5</v>
      </c>
      <c r="O178" t="s">
        <v>74</v>
      </c>
      <c r="P178">
        <v>17</v>
      </c>
      <c r="Q178" t="s">
        <v>16</v>
      </c>
      <c r="R178" t="s">
        <v>17</v>
      </c>
      <c r="S178" t="b">
        <v>0</v>
      </c>
      <c r="T178">
        <v>3</v>
      </c>
      <c r="U178" t="s">
        <v>17</v>
      </c>
      <c r="V178" t="s">
        <v>17</v>
      </c>
      <c r="W178">
        <f t="shared" si="6"/>
        <v>15</v>
      </c>
      <c r="X178" t="s">
        <v>334</v>
      </c>
    </row>
    <row r="179" spans="1:24" x14ac:dyDescent="0.3">
      <c r="A179" s="4">
        <v>44490</v>
      </c>
      <c r="B179" t="s">
        <v>492</v>
      </c>
      <c r="C179" s="3">
        <v>28995</v>
      </c>
      <c r="D179">
        <v>2014</v>
      </c>
      <c r="E179" t="s">
        <v>44</v>
      </c>
      <c r="F179" t="s">
        <v>490</v>
      </c>
      <c r="G179" t="s">
        <v>491</v>
      </c>
      <c r="H179" t="s">
        <v>395</v>
      </c>
      <c r="I179" s="6">
        <v>53581</v>
      </c>
      <c r="J179" t="b">
        <v>0</v>
      </c>
      <c r="K179" t="s">
        <v>36</v>
      </c>
      <c r="L179" t="s">
        <v>30</v>
      </c>
      <c r="M179">
        <v>402</v>
      </c>
      <c r="N179">
        <v>4.7</v>
      </c>
      <c r="O179" t="s">
        <v>74</v>
      </c>
      <c r="P179">
        <v>21</v>
      </c>
      <c r="Q179" t="s">
        <v>16</v>
      </c>
      <c r="R179" t="s">
        <v>17</v>
      </c>
      <c r="S179" t="b">
        <v>0</v>
      </c>
      <c r="T179">
        <v>3</v>
      </c>
      <c r="U179" t="s">
        <v>17</v>
      </c>
      <c r="V179" t="s">
        <v>17</v>
      </c>
      <c r="W179">
        <f t="shared" si="6"/>
        <v>7</v>
      </c>
      <c r="X179" t="s">
        <v>334</v>
      </c>
    </row>
    <row r="180" spans="1:24" x14ac:dyDescent="0.3">
      <c r="A180" s="4">
        <v>44490</v>
      </c>
      <c r="B180" t="s">
        <v>498</v>
      </c>
      <c r="C180" s="3">
        <v>5183</v>
      </c>
      <c r="D180">
        <v>2005</v>
      </c>
      <c r="E180" t="s">
        <v>44</v>
      </c>
      <c r="F180" t="s">
        <v>499</v>
      </c>
      <c r="G180" t="s">
        <v>500</v>
      </c>
      <c r="H180" t="s">
        <v>395</v>
      </c>
      <c r="I180" s="6">
        <v>120221</v>
      </c>
      <c r="J180" t="b">
        <v>0</v>
      </c>
      <c r="K180" t="s">
        <v>36</v>
      </c>
      <c r="L180" t="s">
        <v>30</v>
      </c>
      <c r="M180">
        <v>275</v>
      </c>
      <c r="N180">
        <v>4.3</v>
      </c>
      <c r="O180" t="s">
        <v>74</v>
      </c>
      <c r="P180">
        <v>20</v>
      </c>
      <c r="Q180" t="s">
        <v>16</v>
      </c>
      <c r="R180" t="s">
        <v>17</v>
      </c>
      <c r="S180" t="b">
        <v>0</v>
      </c>
      <c r="T180">
        <v>5</v>
      </c>
      <c r="U180" t="s">
        <v>17</v>
      </c>
      <c r="V180" t="s">
        <v>17</v>
      </c>
      <c r="W180">
        <f t="shared" si="6"/>
        <v>16</v>
      </c>
      <c r="X180" t="s">
        <v>334</v>
      </c>
    </row>
    <row r="181" spans="1:24" x14ac:dyDescent="0.3">
      <c r="A181" s="4">
        <v>44490</v>
      </c>
      <c r="B181" t="s">
        <v>502</v>
      </c>
      <c r="C181" s="3">
        <v>20800</v>
      </c>
      <c r="D181">
        <v>2013</v>
      </c>
      <c r="E181" t="s">
        <v>44</v>
      </c>
      <c r="F181" t="s">
        <v>490</v>
      </c>
      <c r="G181" t="s">
        <v>503</v>
      </c>
      <c r="H181" t="s">
        <v>395</v>
      </c>
      <c r="I181" s="6">
        <v>101619</v>
      </c>
      <c r="J181" t="b">
        <v>0</v>
      </c>
      <c r="K181" t="s">
        <v>36</v>
      </c>
      <c r="L181" t="s">
        <v>30</v>
      </c>
      <c r="M181">
        <v>402</v>
      </c>
      <c r="N181">
        <v>4.7</v>
      </c>
      <c r="O181" t="s">
        <v>74</v>
      </c>
      <c r="P181">
        <v>21</v>
      </c>
      <c r="Q181" t="s">
        <v>16</v>
      </c>
      <c r="R181" t="s">
        <v>17</v>
      </c>
      <c r="S181" t="b">
        <v>0</v>
      </c>
      <c r="T181">
        <v>3</v>
      </c>
      <c r="U181" t="s">
        <v>17</v>
      </c>
      <c r="V181" t="s">
        <v>17</v>
      </c>
      <c r="W181">
        <f t="shared" si="6"/>
        <v>8</v>
      </c>
      <c r="X181" t="s">
        <v>334</v>
      </c>
    </row>
    <row r="182" spans="1:24" x14ac:dyDescent="0.3">
      <c r="A182" s="4">
        <v>44490</v>
      </c>
      <c r="B182" t="s">
        <v>531</v>
      </c>
      <c r="C182" s="3">
        <v>14299</v>
      </c>
      <c r="D182">
        <v>2007</v>
      </c>
      <c r="E182" t="s">
        <v>44</v>
      </c>
      <c r="F182" t="s">
        <v>499</v>
      </c>
      <c r="G182" t="s">
        <v>505</v>
      </c>
      <c r="H182" t="s">
        <v>395</v>
      </c>
      <c r="I182" s="6">
        <v>98345</v>
      </c>
      <c r="J182" t="b">
        <v>0</v>
      </c>
      <c r="K182" t="s">
        <v>36</v>
      </c>
      <c r="L182" t="s">
        <v>30</v>
      </c>
      <c r="M182">
        <v>382</v>
      </c>
      <c r="N182">
        <v>5.5</v>
      </c>
      <c r="O182" t="s">
        <v>74</v>
      </c>
      <c r="P182">
        <v>18</v>
      </c>
      <c r="Q182" t="s">
        <v>16</v>
      </c>
      <c r="R182" t="s">
        <v>17</v>
      </c>
      <c r="S182" t="b">
        <v>0</v>
      </c>
      <c r="T182">
        <v>1</v>
      </c>
      <c r="U182" t="s">
        <v>17</v>
      </c>
      <c r="V182" t="s">
        <v>17</v>
      </c>
      <c r="W182">
        <f t="shared" si="6"/>
        <v>14</v>
      </c>
      <c r="X182" t="s">
        <v>334</v>
      </c>
    </row>
    <row r="183" spans="1:24" x14ac:dyDescent="0.3">
      <c r="A183" s="4">
        <v>44490</v>
      </c>
      <c r="B183" t="s">
        <v>528</v>
      </c>
      <c r="C183" s="3">
        <v>6995</v>
      </c>
      <c r="D183">
        <v>2004</v>
      </c>
      <c r="E183" t="s">
        <v>529</v>
      </c>
      <c r="F183" t="s">
        <v>530</v>
      </c>
      <c r="G183" t="s">
        <v>183</v>
      </c>
      <c r="H183" t="s">
        <v>395</v>
      </c>
      <c r="I183" s="6">
        <v>71100</v>
      </c>
      <c r="J183" t="b">
        <v>0</v>
      </c>
      <c r="K183" t="s">
        <v>36</v>
      </c>
      <c r="L183" t="s">
        <v>30</v>
      </c>
      <c r="M183">
        <v>224</v>
      </c>
      <c r="N183">
        <v>4.5999999999999996</v>
      </c>
      <c r="O183" t="s">
        <v>74</v>
      </c>
      <c r="P183">
        <v>19</v>
      </c>
      <c r="Q183" t="s">
        <v>16</v>
      </c>
      <c r="R183" t="s">
        <v>17</v>
      </c>
      <c r="S183" t="b">
        <v>1</v>
      </c>
      <c r="T183">
        <v>3</v>
      </c>
      <c r="U183" t="s">
        <v>17</v>
      </c>
      <c r="V183" t="s">
        <v>17</v>
      </c>
      <c r="W183">
        <f t="shared" ref="W183:W214" si="7">2021-D183</f>
        <v>17</v>
      </c>
      <c r="X183" t="s">
        <v>335</v>
      </c>
    </row>
    <row r="184" spans="1:24" x14ac:dyDescent="0.3">
      <c r="A184" s="4">
        <v>44490</v>
      </c>
      <c r="B184" t="s">
        <v>424</v>
      </c>
      <c r="C184" s="3">
        <v>13500</v>
      </c>
      <c r="D184">
        <v>2018</v>
      </c>
      <c r="E184" t="s">
        <v>5</v>
      </c>
      <c r="F184" t="s">
        <v>425</v>
      </c>
      <c r="G184" t="s">
        <v>426</v>
      </c>
      <c r="H184" t="s">
        <v>395</v>
      </c>
      <c r="I184" s="6">
        <v>59164</v>
      </c>
      <c r="J184" t="b">
        <v>0</v>
      </c>
      <c r="K184" t="s">
        <v>8</v>
      </c>
      <c r="L184" t="s">
        <v>30</v>
      </c>
      <c r="M184">
        <v>179</v>
      </c>
      <c r="N184">
        <v>2.5</v>
      </c>
      <c r="O184" t="s">
        <v>13</v>
      </c>
      <c r="P184">
        <v>32</v>
      </c>
      <c r="Q184" t="s">
        <v>16</v>
      </c>
      <c r="R184" t="s">
        <v>17</v>
      </c>
      <c r="S184" t="b">
        <v>1</v>
      </c>
      <c r="T184">
        <v>2</v>
      </c>
      <c r="U184" t="s">
        <v>17</v>
      </c>
      <c r="V184" t="s">
        <v>25</v>
      </c>
      <c r="W184">
        <f t="shared" si="7"/>
        <v>3</v>
      </c>
      <c r="X184" t="s">
        <v>333</v>
      </c>
    </row>
    <row r="185" spans="1:24" x14ac:dyDescent="0.3">
      <c r="A185" s="4">
        <v>44490</v>
      </c>
      <c r="B185" t="s">
        <v>454</v>
      </c>
      <c r="C185" s="3">
        <v>28445</v>
      </c>
      <c r="D185">
        <v>2019</v>
      </c>
      <c r="E185" t="s">
        <v>5</v>
      </c>
      <c r="F185" t="s">
        <v>455</v>
      </c>
      <c r="G185" t="s">
        <v>29</v>
      </c>
      <c r="H185" t="s">
        <v>395</v>
      </c>
      <c r="I185" s="6">
        <v>10536</v>
      </c>
      <c r="J185" t="b">
        <v>0</v>
      </c>
      <c r="K185" t="s">
        <v>8</v>
      </c>
      <c r="L185" t="s">
        <v>30</v>
      </c>
      <c r="M185">
        <v>300</v>
      </c>
      <c r="N185">
        <v>3.5</v>
      </c>
      <c r="O185" t="s">
        <v>58</v>
      </c>
      <c r="P185">
        <v>25</v>
      </c>
      <c r="Q185" t="s">
        <v>16</v>
      </c>
      <c r="R185" t="s">
        <v>17</v>
      </c>
      <c r="S185" t="b">
        <v>0</v>
      </c>
      <c r="T185">
        <v>1</v>
      </c>
      <c r="U185" t="s">
        <v>17</v>
      </c>
      <c r="V185" t="s">
        <v>17</v>
      </c>
      <c r="W185">
        <f t="shared" si="7"/>
        <v>2</v>
      </c>
      <c r="X185" t="s">
        <v>333</v>
      </c>
    </row>
    <row r="186" spans="1:24" x14ac:dyDescent="0.3">
      <c r="A186" s="4">
        <v>44490</v>
      </c>
      <c r="B186" t="s">
        <v>396</v>
      </c>
      <c r="C186" s="3">
        <v>22988</v>
      </c>
      <c r="D186">
        <v>2015</v>
      </c>
      <c r="E186" t="s">
        <v>203</v>
      </c>
      <c r="F186" t="s">
        <v>394</v>
      </c>
      <c r="G186" t="s">
        <v>204</v>
      </c>
      <c r="H186" t="s">
        <v>395</v>
      </c>
      <c r="I186" s="6">
        <v>51086</v>
      </c>
      <c r="J186" t="b">
        <v>0</v>
      </c>
      <c r="K186" t="s">
        <v>136</v>
      </c>
      <c r="L186" t="s">
        <v>30</v>
      </c>
      <c r="M186">
        <v>268</v>
      </c>
      <c r="N186">
        <v>2</v>
      </c>
      <c r="O186" t="s">
        <v>205</v>
      </c>
      <c r="P186">
        <v>22</v>
      </c>
      <c r="Q186" t="s">
        <v>16</v>
      </c>
      <c r="R186" t="s">
        <v>17</v>
      </c>
      <c r="S186" t="b">
        <v>1</v>
      </c>
      <c r="T186">
        <v>2</v>
      </c>
      <c r="U186" t="s">
        <v>17</v>
      </c>
      <c r="V186" t="s">
        <v>17</v>
      </c>
      <c r="W186">
        <f t="shared" si="7"/>
        <v>6</v>
      </c>
      <c r="X186" t="s">
        <v>333</v>
      </c>
    </row>
    <row r="187" spans="1:24" x14ac:dyDescent="0.3">
      <c r="A187" s="4">
        <v>44490</v>
      </c>
      <c r="B187" t="s">
        <v>397</v>
      </c>
      <c r="C187" s="3">
        <v>25555</v>
      </c>
      <c r="D187">
        <v>2018</v>
      </c>
      <c r="E187" t="s">
        <v>203</v>
      </c>
      <c r="F187" t="s">
        <v>394</v>
      </c>
      <c r="H187" t="s">
        <v>395</v>
      </c>
      <c r="I187" s="6">
        <v>30632</v>
      </c>
      <c r="J187" t="b">
        <v>1</v>
      </c>
      <c r="K187" t="s">
        <v>136</v>
      </c>
      <c r="L187" t="s">
        <v>30</v>
      </c>
      <c r="M187">
        <v>268</v>
      </c>
      <c r="N187">
        <v>2</v>
      </c>
      <c r="O187" t="s">
        <v>205</v>
      </c>
      <c r="P187">
        <v>24</v>
      </c>
      <c r="Q187" t="s">
        <v>16</v>
      </c>
      <c r="R187" t="s">
        <v>17</v>
      </c>
      <c r="S187" t="b">
        <v>0</v>
      </c>
      <c r="T187">
        <v>2</v>
      </c>
      <c r="U187" t="s">
        <v>17</v>
      </c>
      <c r="V187" t="s">
        <v>17</v>
      </c>
      <c r="W187">
        <f t="shared" si="7"/>
        <v>3</v>
      </c>
      <c r="X187" t="s">
        <v>333</v>
      </c>
    </row>
    <row r="188" spans="1:24" x14ac:dyDescent="0.3">
      <c r="A188" s="4">
        <v>44490</v>
      </c>
      <c r="B188" t="s">
        <v>393</v>
      </c>
      <c r="C188" s="3">
        <v>28998</v>
      </c>
      <c r="D188">
        <v>2020</v>
      </c>
      <c r="E188" t="s">
        <v>203</v>
      </c>
      <c r="F188" t="s">
        <v>394</v>
      </c>
      <c r="H188" t="s">
        <v>395</v>
      </c>
      <c r="I188" s="6">
        <v>9936</v>
      </c>
      <c r="J188" t="b">
        <v>1</v>
      </c>
      <c r="K188" t="s">
        <v>136</v>
      </c>
      <c r="L188" t="s">
        <v>30</v>
      </c>
      <c r="M188">
        <v>268</v>
      </c>
      <c r="N188">
        <v>2</v>
      </c>
      <c r="O188" t="s">
        <v>205</v>
      </c>
      <c r="P188">
        <v>24</v>
      </c>
      <c r="Q188" t="s">
        <v>16</v>
      </c>
      <c r="R188" t="s">
        <v>17</v>
      </c>
      <c r="S188" t="b">
        <v>1</v>
      </c>
      <c r="T188">
        <v>2</v>
      </c>
      <c r="U188" t="s">
        <v>17</v>
      </c>
      <c r="V188" t="s">
        <v>17</v>
      </c>
      <c r="W188">
        <f t="shared" si="7"/>
        <v>1</v>
      </c>
      <c r="X188" t="s">
        <v>333</v>
      </c>
    </row>
    <row r="189" spans="1:24" x14ac:dyDescent="0.3">
      <c r="A189" s="4">
        <v>44490</v>
      </c>
      <c r="B189" t="s">
        <v>427</v>
      </c>
      <c r="C189" s="3">
        <v>16990</v>
      </c>
      <c r="D189">
        <v>2019</v>
      </c>
      <c r="E189" t="s">
        <v>68</v>
      </c>
      <c r="F189" t="s">
        <v>428</v>
      </c>
      <c r="G189" t="s">
        <v>294</v>
      </c>
      <c r="H189" t="s">
        <v>395</v>
      </c>
      <c r="I189" s="6">
        <v>19857</v>
      </c>
      <c r="J189" t="b">
        <v>0</v>
      </c>
      <c r="K189" t="s">
        <v>8</v>
      </c>
      <c r="L189" t="s">
        <v>30</v>
      </c>
      <c r="M189">
        <v>132</v>
      </c>
      <c r="N189">
        <v>1.8</v>
      </c>
      <c r="O189" t="s">
        <v>13</v>
      </c>
      <c r="P189">
        <v>31</v>
      </c>
      <c r="Q189" t="s">
        <v>16</v>
      </c>
      <c r="R189" t="s">
        <v>17</v>
      </c>
      <c r="S189" t="b">
        <v>0</v>
      </c>
      <c r="T189">
        <v>2</v>
      </c>
      <c r="U189" t="s">
        <v>25</v>
      </c>
      <c r="V189" t="s">
        <v>17</v>
      </c>
      <c r="W189">
        <f t="shared" si="7"/>
        <v>2</v>
      </c>
      <c r="X189" t="s">
        <v>333</v>
      </c>
    </row>
    <row r="190" spans="1:24" x14ac:dyDescent="0.3">
      <c r="A190" s="4">
        <v>44490</v>
      </c>
      <c r="B190" t="s">
        <v>421</v>
      </c>
      <c r="C190" s="3">
        <v>15500</v>
      </c>
      <c r="D190">
        <v>2017</v>
      </c>
      <c r="E190" t="s">
        <v>68</v>
      </c>
      <c r="F190" t="s">
        <v>69</v>
      </c>
      <c r="G190" t="s">
        <v>319</v>
      </c>
      <c r="H190" t="s">
        <v>395</v>
      </c>
      <c r="I190" s="6">
        <v>60901</v>
      </c>
      <c r="J190" t="b">
        <v>0</v>
      </c>
      <c r="K190" t="s">
        <v>8</v>
      </c>
      <c r="L190" t="s">
        <v>30</v>
      </c>
      <c r="M190">
        <v>178</v>
      </c>
      <c r="N190">
        <v>2.5</v>
      </c>
      <c r="O190" t="s">
        <v>13</v>
      </c>
      <c r="P190">
        <v>28</v>
      </c>
      <c r="Q190" t="s">
        <v>16</v>
      </c>
      <c r="R190" t="s">
        <v>25</v>
      </c>
      <c r="S190" t="b">
        <v>1</v>
      </c>
      <c r="T190">
        <v>2</v>
      </c>
      <c r="U190" t="s">
        <v>25</v>
      </c>
      <c r="V190" t="s">
        <v>17</v>
      </c>
      <c r="W190">
        <f t="shared" si="7"/>
        <v>4</v>
      </c>
      <c r="X190" t="s">
        <v>333</v>
      </c>
    </row>
    <row r="191" spans="1:24" x14ac:dyDescent="0.3">
      <c r="A191" s="4">
        <v>44490</v>
      </c>
      <c r="B191" t="s">
        <v>407</v>
      </c>
      <c r="C191" s="3">
        <v>21788</v>
      </c>
      <c r="D191">
        <v>2020</v>
      </c>
      <c r="E191" t="s">
        <v>94</v>
      </c>
      <c r="F191" t="s">
        <v>408</v>
      </c>
      <c r="G191" t="s">
        <v>409</v>
      </c>
      <c r="H191" t="s">
        <v>395</v>
      </c>
      <c r="I191" s="6">
        <v>4480</v>
      </c>
      <c r="J191" t="b">
        <v>0</v>
      </c>
      <c r="K191" t="s">
        <v>8</v>
      </c>
      <c r="L191" t="s">
        <v>30</v>
      </c>
      <c r="M191">
        <v>174</v>
      </c>
      <c r="N191">
        <v>2</v>
      </c>
      <c r="O191" t="s">
        <v>13</v>
      </c>
      <c r="P191">
        <v>28</v>
      </c>
      <c r="Q191" t="s">
        <v>16</v>
      </c>
      <c r="R191" t="s">
        <v>17</v>
      </c>
      <c r="S191" t="b">
        <v>0</v>
      </c>
      <c r="T191">
        <v>1</v>
      </c>
      <c r="U191" t="s">
        <v>17</v>
      </c>
      <c r="V191" t="s">
        <v>17</v>
      </c>
      <c r="W191">
        <f t="shared" si="7"/>
        <v>1</v>
      </c>
      <c r="X191" t="s">
        <v>334</v>
      </c>
    </row>
    <row r="192" spans="1:24" x14ac:dyDescent="0.3">
      <c r="A192" s="14">
        <v>44489</v>
      </c>
      <c r="B192" s="15" t="s">
        <v>278</v>
      </c>
      <c r="C192" s="16">
        <v>5995</v>
      </c>
      <c r="D192" s="15">
        <v>2006</v>
      </c>
      <c r="E192" s="15" t="s">
        <v>182</v>
      </c>
      <c r="F192" s="15" t="s">
        <v>279</v>
      </c>
      <c r="G192" s="15" t="s">
        <v>57</v>
      </c>
      <c r="H192" s="15" t="s">
        <v>262</v>
      </c>
      <c r="I192" s="17">
        <v>134000</v>
      </c>
      <c r="J192" s="15" t="b">
        <v>0</v>
      </c>
      <c r="K192" s="15" t="s">
        <v>136</v>
      </c>
      <c r="L192" s="15" t="s">
        <v>30</v>
      </c>
      <c r="M192" s="15">
        <v>253</v>
      </c>
      <c r="N192" s="15">
        <v>3.5</v>
      </c>
      <c r="O192" s="15" t="s">
        <v>58</v>
      </c>
      <c r="P192" s="15">
        <v>18</v>
      </c>
      <c r="Q192" s="15" t="s">
        <v>16</v>
      </c>
      <c r="R192" s="15" t="s">
        <v>25</v>
      </c>
      <c r="S192" s="15" t="b">
        <v>1</v>
      </c>
      <c r="T192" s="15">
        <v>3</v>
      </c>
      <c r="U192" s="15" t="s">
        <v>17</v>
      </c>
      <c r="V192" s="15" t="s">
        <v>25</v>
      </c>
      <c r="W192">
        <f t="shared" si="7"/>
        <v>15</v>
      </c>
      <c r="X192" t="s">
        <v>333</v>
      </c>
    </row>
    <row r="193" spans="1:24" x14ac:dyDescent="0.3">
      <c r="A193" s="14">
        <v>44489</v>
      </c>
      <c r="B193" s="15" t="s">
        <v>320</v>
      </c>
      <c r="C193" s="16">
        <v>23995</v>
      </c>
      <c r="D193" s="15">
        <v>2018</v>
      </c>
      <c r="E193" s="15" t="s">
        <v>38</v>
      </c>
      <c r="F193" s="15" t="s">
        <v>321</v>
      </c>
      <c r="G193" s="15" t="s">
        <v>322</v>
      </c>
      <c r="H193" s="15" t="s">
        <v>262</v>
      </c>
      <c r="I193" s="17">
        <v>52183</v>
      </c>
      <c r="J193" s="15" t="b">
        <v>0</v>
      </c>
      <c r="K193" s="15" t="s">
        <v>8</v>
      </c>
      <c r="L193" s="15" t="s">
        <v>30</v>
      </c>
      <c r="M193" s="15">
        <v>200</v>
      </c>
      <c r="N193" s="15">
        <v>2</v>
      </c>
      <c r="O193" s="15" t="s">
        <v>13</v>
      </c>
      <c r="P193" s="15">
        <v>24</v>
      </c>
      <c r="Q193" s="15" t="s">
        <v>16</v>
      </c>
      <c r="R193" s="15" t="s">
        <v>17</v>
      </c>
      <c r="S193" s="15" t="b">
        <v>1</v>
      </c>
      <c r="T193" s="15">
        <v>2</v>
      </c>
      <c r="U193" s="15" t="s">
        <v>25</v>
      </c>
      <c r="V193" s="15" t="s">
        <v>17</v>
      </c>
      <c r="W193">
        <f t="shared" si="7"/>
        <v>3</v>
      </c>
      <c r="X193" t="s">
        <v>334</v>
      </c>
    </row>
    <row r="194" spans="1:24" x14ac:dyDescent="0.3">
      <c r="A194" s="14">
        <v>44489</v>
      </c>
      <c r="B194" s="15" t="s">
        <v>323</v>
      </c>
      <c r="C194" s="16">
        <v>22899</v>
      </c>
      <c r="D194" s="15">
        <v>2016</v>
      </c>
      <c r="E194" s="15" t="s">
        <v>42</v>
      </c>
      <c r="F194" s="15" t="s">
        <v>324</v>
      </c>
      <c r="G194" s="15" t="s">
        <v>325</v>
      </c>
      <c r="H194" s="15" t="s">
        <v>262</v>
      </c>
      <c r="I194" s="17">
        <v>90888</v>
      </c>
      <c r="J194" s="15" t="b">
        <v>0</v>
      </c>
      <c r="K194" s="15" t="s">
        <v>136</v>
      </c>
      <c r="L194" s="15" t="s">
        <v>30</v>
      </c>
      <c r="M194" s="15">
        <v>300</v>
      </c>
      <c r="N194" s="15">
        <v>3</v>
      </c>
      <c r="O194" s="15" t="s">
        <v>49</v>
      </c>
      <c r="P194" s="15">
        <v>21</v>
      </c>
      <c r="Q194" s="15" t="s">
        <v>16</v>
      </c>
      <c r="R194" s="15" t="s">
        <v>17</v>
      </c>
      <c r="S194" s="15" t="b">
        <v>0</v>
      </c>
      <c r="T194" s="15">
        <v>2</v>
      </c>
      <c r="U194" s="15" t="s">
        <v>17</v>
      </c>
      <c r="V194" s="15" t="s">
        <v>17</v>
      </c>
      <c r="W194">
        <f t="shared" si="7"/>
        <v>5</v>
      </c>
      <c r="X194" t="s">
        <v>334</v>
      </c>
    </row>
    <row r="195" spans="1:24" x14ac:dyDescent="0.3">
      <c r="A195" s="14">
        <v>44489</v>
      </c>
      <c r="B195" s="15" t="s">
        <v>275</v>
      </c>
      <c r="C195" s="16">
        <v>9999</v>
      </c>
      <c r="D195" s="15">
        <v>2012</v>
      </c>
      <c r="E195" s="15" t="s">
        <v>119</v>
      </c>
      <c r="F195" s="15" t="s">
        <v>276</v>
      </c>
      <c r="G195" s="15" t="s">
        <v>277</v>
      </c>
      <c r="H195" s="15" t="s">
        <v>262</v>
      </c>
      <c r="I195" s="17">
        <v>125905</v>
      </c>
      <c r="J195" s="15" t="b">
        <v>0</v>
      </c>
      <c r="K195" s="15" t="s">
        <v>8</v>
      </c>
      <c r="L195" s="15" t="s">
        <v>73</v>
      </c>
      <c r="M195" s="15">
        <v>308</v>
      </c>
      <c r="N195" s="15">
        <v>3.6</v>
      </c>
      <c r="O195" s="15" t="s">
        <v>58</v>
      </c>
      <c r="P195" s="15">
        <v>20</v>
      </c>
      <c r="Q195" s="15" t="s">
        <v>16</v>
      </c>
      <c r="R195" s="15" t="s">
        <v>17</v>
      </c>
      <c r="S195" s="15" t="b">
        <v>1</v>
      </c>
      <c r="T195" s="15">
        <v>2</v>
      </c>
      <c r="U195" s="15" t="s">
        <v>17</v>
      </c>
      <c r="V195" s="15" t="s">
        <v>17</v>
      </c>
      <c r="W195">
        <f t="shared" si="7"/>
        <v>9</v>
      </c>
      <c r="X195" t="s">
        <v>335</v>
      </c>
    </row>
    <row r="196" spans="1:24" x14ac:dyDescent="0.3">
      <c r="A196" s="14">
        <v>44489</v>
      </c>
      <c r="B196" s="15" t="s">
        <v>305</v>
      </c>
      <c r="C196" s="16">
        <v>18998</v>
      </c>
      <c r="D196" s="15">
        <v>2013</v>
      </c>
      <c r="E196" s="15" t="s">
        <v>119</v>
      </c>
      <c r="F196" s="15" t="s">
        <v>306</v>
      </c>
      <c r="G196" s="15" t="s">
        <v>307</v>
      </c>
      <c r="H196" s="15" t="s">
        <v>262</v>
      </c>
      <c r="I196" s="17">
        <v>142474</v>
      </c>
      <c r="J196" s="15" t="b">
        <v>0</v>
      </c>
      <c r="K196" s="15" t="s">
        <v>136</v>
      </c>
      <c r="L196" s="15" t="s">
        <v>73</v>
      </c>
      <c r="M196" s="15">
        <v>403</v>
      </c>
      <c r="N196" s="15">
        <v>6.2</v>
      </c>
      <c r="O196" s="15" t="s">
        <v>74</v>
      </c>
      <c r="P196" s="15">
        <v>15</v>
      </c>
      <c r="Q196" s="15" t="s">
        <v>16</v>
      </c>
      <c r="R196" s="15" t="s">
        <v>17</v>
      </c>
      <c r="S196" s="15" t="b">
        <v>0</v>
      </c>
      <c r="T196" s="15">
        <v>3</v>
      </c>
      <c r="U196" s="15" t="s">
        <v>25</v>
      </c>
      <c r="V196" s="15" t="s">
        <v>17</v>
      </c>
      <c r="W196">
        <f t="shared" si="7"/>
        <v>8</v>
      </c>
      <c r="X196" t="s">
        <v>335</v>
      </c>
    </row>
    <row r="197" spans="1:24" x14ac:dyDescent="0.3">
      <c r="A197" s="14">
        <v>44489</v>
      </c>
      <c r="B197" s="15" t="s">
        <v>293</v>
      </c>
      <c r="C197" s="16">
        <v>11000</v>
      </c>
      <c r="D197" s="15">
        <v>2017</v>
      </c>
      <c r="E197" s="15" t="s">
        <v>228</v>
      </c>
      <c r="F197" s="15" t="s">
        <v>226</v>
      </c>
      <c r="G197" s="15" t="s">
        <v>294</v>
      </c>
      <c r="H197" s="15" t="s">
        <v>262</v>
      </c>
      <c r="I197" s="17">
        <v>86475</v>
      </c>
      <c r="J197" s="15" t="b">
        <v>0</v>
      </c>
      <c r="K197" s="15" t="s">
        <v>8</v>
      </c>
      <c r="L197" s="15" t="s">
        <v>30</v>
      </c>
      <c r="M197" s="15">
        <v>173</v>
      </c>
      <c r="N197" s="15">
        <v>2.4</v>
      </c>
      <c r="O197" s="15" t="s">
        <v>13</v>
      </c>
      <c r="P197" s="15">
        <v>22</v>
      </c>
      <c r="Q197" s="15" t="s">
        <v>16</v>
      </c>
      <c r="R197" s="15" t="s">
        <v>17</v>
      </c>
      <c r="S197" s="15" t="b">
        <v>1</v>
      </c>
      <c r="T197" s="15">
        <v>2</v>
      </c>
      <c r="U197" s="15" t="s">
        <v>17</v>
      </c>
      <c r="V197" s="15" t="s">
        <v>17</v>
      </c>
      <c r="W197">
        <f t="shared" si="7"/>
        <v>4</v>
      </c>
      <c r="X197" t="s">
        <v>335</v>
      </c>
    </row>
    <row r="198" spans="1:24" x14ac:dyDescent="0.3">
      <c r="A198" s="14">
        <v>44489</v>
      </c>
      <c r="B198" s="15" t="s">
        <v>311</v>
      </c>
      <c r="C198" s="16">
        <v>23400</v>
      </c>
      <c r="D198" s="15">
        <v>2019</v>
      </c>
      <c r="E198" s="15" t="s">
        <v>63</v>
      </c>
      <c r="F198" s="15" t="s">
        <v>73</v>
      </c>
      <c r="G198" s="15" t="s">
        <v>294</v>
      </c>
      <c r="H198" s="15" t="s">
        <v>262</v>
      </c>
      <c r="I198" s="17">
        <v>8742</v>
      </c>
      <c r="J198" s="15" t="b">
        <v>0</v>
      </c>
      <c r="K198" s="15" t="s">
        <v>8</v>
      </c>
      <c r="L198" s="15" t="s">
        <v>30</v>
      </c>
      <c r="M198" s="15">
        <v>287</v>
      </c>
      <c r="N198" s="15">
        <v>3.5</v>
      </c>
      <c r="O198" s="15" t="s">
        <v>58</v>
      </c>
      <c r="P198" s="15">
        <v>19</v>
      </c>
      <c r="Q198" s="15" t="s">
        <v>16</v>
      </c>
      <c r="R198" s="15" t="s">
        <v>17</v>
      </c>
      <c r="S198" s="15" t="b">
        <v>1</v>
      </c>
      <c r="T198" s="15">
        <v>1</v>
      </c>
      <c r="U198" s="15" t="s">
        <v>17</v>
      </c>
      <c r="V198" s="15" t="s">
        <v>17</v>
      </c>
      <c r="W198">
        <f t="shared" si="7"/>
        <v>2</v>
      </c>
      <c r="X198" t="s">
        <v>335</v>
      </c>
    </row>
    <row r="199" spans="1:24" x14ac:dyDescent="0.3">
      <c r="A199" s="14">
        <v>44489</v>
      </c>
      <c r="B199" s="15" t="s">
        <v>312</v>
      </c>
      <c r="C199" s="16">
        <v>29990</v>
      </c>
      <c r="D199" s="15">
        <v>2016</v>
      </c>
      <c r="E199" s="15" t="s">
        <v>280</v>
      </c>
      <c r="F199" s="15" t="s">
        <v>284</v>
      </c>
      <c r="G199" s="15" t="s">
        <v>313</v>
      </c>
      <c r="H199" s="15" t="s">
        <v>262</v>
      </c>
      <c r="I199" s="17">
        <v>104812</v>
      </c>
      <c r="J199" s="15" t="b">
        <v>0</v>
      </c>
      <c r="K199" s="15" t="s">
        <v>314</v>
      </c>
      <c r="L199" s="15" t="s">
        <v>73</v>
      </c>
      <c r="M199" s="15">
        <v>355</v>
      </c>
      <c r="N199" s="15">
        <v>5.3</v>
      </c>
      <c r="O199" s="15" t="s">
        <v>74</v>
      </c>
      <c r="P199" s="15">
        <v>19</v>
      </c>
      <c r="Q199" s="15" t="s">
        <v>16</v>
      </c>
      <c r="R199" s="15" t="s">
        <v>17</v>
      </c>
      <c r="S199" s="15" t="b">
        <v>1</v>
      </c>
      <c r="T199" s="15">
        <v>2</v>
      </c>
      <c r="U199" s="15" t="s">
        <v>17</v>
      </c>
      <c r="V199" s="15" t="s">
        <v>17</v>
      </c>
      <c r="W199">
        <f t="shared" si="7"/>
        <v>5</v>
      </c>
      <c r="X199" t="s">
        <v>335</v>
      </c>
    </row>
    <row r="200" spans="1:24" x14ac:dyDescent="0.3">
      <c r="A200" s="14">
        <v>44489</v>
      </c>
      <c r="B200" s="15" t="s">
        <v>285</v>
      </c>
      <c r="C200" s="16">
        <v>17995</v>
      </c>
      <c r="D200" s="15">
        <v>2016</v>
      </c>
      <c r="E200" s="15" t="s">
        <v>168</v>
      </c>
      <c r="F200" s="15" t="s">
        <v>286</v>
      </c>
      <c r="G200" s="15" t="s">
        <v>287</v>
      </c>
      <c r="H200" s="15" t="s">
        <v>262</v>
      </c>
      <c r="I200" s="17">
        <v>99565</v>
      </c>
      <c r="J200" s="15" t="b">
        <v>0</v>
      </c>
      <c r="K200" s="15" t="s">
        <v>8</v>
      </c>
      <c r="L200" s="15" t="s">
        <v>30</v>
      </c>
      <c r="M200" s="15">
        <v>185</v>
      </c>
      <c r="N200" s="15">
        <v>2.4</v>
      </c>
      <c r="O200" s="15" t="s">
        <v>13</v>
      </c>
      <c r="P200" s="15">
        <v>29</v>
      </c>
      <c r="Q200" s="15" t="s">
        <v>16</v>
      </c>
      <c r="R200" s="15" t="s">
        <v>17</v>
      </c>
      <c r="S200" s="15" t="b">
        <v>0</v>
      </c>
      <c r="T200" s="15">
        <v>2</v>
      </c>
      <c r="U200" s="15" t="s">
        <v>17</v>
      </c>
      <c r="V200" s="15" t="s">
        <v>17</v>
      </c>
      <c r="W200">
        <f t="shared" si="7"/>
        <v>5</v>
      </c>
      <c r="X200" t="s">
        <v>333</v>
      </c>
    </row>
    <row r="201" spans="1:24" x14ac:dyDescent="0.3">
      <c r="A201" s="14">
        <v>44489</v>
      </c>
      <c r="B201" s="15" t="s">
        <v>288</v>
      </c>
      <c r="C201" s="16">
        <v>14998</v>
      </c>
      <c r="D201" s="15">
        <v>2018</v>
      </c>
      <c r="E201" s="15" t="s">
        <v>177</v>
      </c>
      <c r="F201" s="15" t="s">
        <v>289</v>
      </c>
      <c r="G201" s="15" t="s">
        <v>290</v>
      </c>
      <c r="H201" s="15" t="s">
        <v>262</v>
      </c>
      <c r="I201" s="17">
        <v>109029</v>
      </c>
      <c r="J201" s="15" t="b">
        <v>0</v>
      </c>
      <c r="K201" s="15" t="s">
        <v>8</v>
      </c>
      <c r="L201" s="15" t="s">
        <v>30</v>
      </c>
      <c r="M201" s="15">
        <v>185</v>
      </c>
      <c r="N201" s="15">
        <v>2.4</v>
      </c>
      <c r="O201" s="15" t="s">
        <v>13</v>
      </c>
      <c r="P201" s="15">
        <v>24</v>
      </c>
      <c r="Q201" s="15" t="s">
        <v>16</v>
      </c>
      <c r="R201" s="15" t="s">
        <v>17</v>
      </c>
      <c r="S201" s="15" t="b">
        <v>0</v>
      </c>
      <c r="T201" s="15">
        <v>2</v>
      </c>
      <c r="U201" s="15" t="s">
        <v>25</v>
      </c>
      <c r="V201" s="15" t="s">
        <v>17</v>
      </c>
      <c r="W201">
        <f t="shared" si="7"/>
        <v>3</v>
      </c>
      <c r="X201" t="s">
        <v>537</v>
      </c>
    </row>
    <row r="202" spans="1:24" x14ac:dyDescent="0.3">
      <c r="A202" s="14">
        <v>44489</v>
      </c>
      <c r="B202" s="15" t="s">
        <v>295</v>
      </c>
      <c r="C202" s="16">
        <v>14999</v>
      </c>
      <c r="D202" s="15">
        <v>2016</v>
      </c>
      <c r="E202" s="15" t="s">
        <v>296</v>
      </c>
      <c r="F202" s="15" t="s">
        <v>297</v>
      </c>
      <c r="G202" s="15" t="s">
        <v>204</v>
      </c>
      <c r="H202" s="15" t="s">
        <v>262</v>
      </c>
      <c r="I202" s="17">
        <v>72799</v>
      </c>
      <c r="J202" s="15" t="b">
        <v>0</v>
      </c>
      <c r="K202" s="15" t="s">
        <v>283</v>
      </c>
      <c r="L202" s="15" t="s">
        <v>30</v>
      </c>
      <c r="M202" s="15">
        <v>180</v>
      </c>
      <c r="N202" s="15">
        <v>2.4</v>
      </c>
      <c r="O202" s="15" t="s">
        <v>13</v>
      </c>
      <c r="P202" s="15">
        <v>25</v>
      </c>
      <c r="Q202" s="15" t="s">
        <v>16</v>
      </c>
      <c r="R202" s="15" t="s">
        <v>17</v>
      </c>
      <c r="S202" s="15" t="b">
        <v>1</v>
      </c>
      <c r="T202" s="15">
        <v>2</v>
      </c>
      <c r="U202" s="15" t="s">
        <v>17</v>
      </c>
      <c r="V202" s="15" t="s">
        <v>25</v>
      </c>
      <c r="W202">
        <f t="shared" si="7"/>
        <v>5</v>
      </c>
      <c r="X202" t="s">
        <v>335</v>
      </c>
    </row>
    <row r="203" spans="1:24" x14ac:dyDescent="0.3">
      <c r="A203" s="14">
        <v>44489</v>
      </c>
      <c r="B203" s="15" t="s">
        <v>298</v>
      </c>
      <c r="C203" s="16">
        <v>18995</v>
      </c>
      <c r="D203" s="15">
        <v>2013</v>
      </c>
      <c r="E203" s="15" t="s">
        <v>296</v>
      </c>
      <c r="F203" s="15" t="s">
        <v>299</v>
      </c>
      <c r="G203" s="15" t="s">
        <v>198</v>
      </c>
      <c r="H203" s="15" t="s">
        <v>262</v>
      </c>
      <c r="I203" s="17">
        <v>101294</v>
      </c>
      <c r="J203" s="15" t="b">
        <v>0</v>
      </c>
      <c r="K203" s="15" t="s">
        <v>283</v>
      </c>
      <c r="L203" s="15" t="s">
        <v>30</v>
      </c>
      <c r="M203" s="15">
        <v>285</v>
      </c>
      <c r="N203" s="15">
        <v>3.6</v>
      </c>
      <c r="O203" s="15" t="s">
        <v>58</v>
      </c>
      <c r="P203" s="15">
        <v>19</v>
      </c>
      <c r="Q203" s="15" t="s">
        <v>16</v>
      </c>
      <c r="R203" s="15" t="s">
        <v>17</v>
      </c>
      <c r="S203" s="15" t="b">
        <v>1</v>
      </c>
      <c r="T203" s="15">
        <v>5</v>
      </c>
      <c r="U203" s="15" t="s">
        <v>17</v>
      </c>
      <c r="V203" s="15" t="s">
        <v>17</v>
      </c>
      <c r="W203">
        <f t="shared" si="7"/>
        <v>8</v>
      </c>
      <c r="X203" t="s">
        <v>335</v>
      </c>
    </row>
    <row r="204" spans="1:24" x14ac:dyDescent="0.3">
      <c r="A204" s="14">
        <v>44489</v>
      </c>
      <c r="B204" s="15" t="s">
        <v>326</v>
      </c>
      <c r="C204" s="16">
        <v>23000</v>
      </c>
      <c r="D204" s="15">
        <v>2012</v>
      </c>
      <c r="E204" s="15" t="s">
        <v>296</v>
      </c>
      <c r="F204" s="15" t="s">
        <v>299</v>
      </c>
      <c r="G204" s="15" t="s">
        <v>327</v>
      </c>
      <c r="H204" s="15" t="s">
        <v>262</v>
      </c>
      <c r="I204" s="17">
        <v>85450</v>
      </c>
      <c r="J204" s="15" t="b">
        <v>0</v>
      </c>
      <c r="K204" s="15" t="s">
        <v>283</v>
      </c>
      <c r="L204" s="15" t="s">
        <v>30</v>
      </c>
      <c r="M204" s="15">
        <v>285</v>
      </c>
      <c r="N204" s="15">
        <v>3.6</v>
      </c>
      <c r="O204" s="15" t="s">
        <v>58</v>
      </c>
      <c r="P204" s="15">
        <v>18</v>
      </c>
      <c r="Q204" s="15" t="s">
        <v>16</v>
      </c>
      <c r="R204" s="15" t="s">
        <v>25</v>
      </c>
      <c r="S204" s="15" t="b">
        <v>1</v>
      </c>
      <c r="T204" s="15">
        <v>2</v>
      </c>
      <c r="U204" s="15" t="s">
        <v>17</v>
      </c>
      <c r="V204" s="15" t="s">
        <v>17</v>
      </c>
      <c r="W204">
        <f t="shared" si="7"/>
        <v>9</v>
      </c>
      <c r="X204" t="s">
        <v>335</v>
      </c>
    </row>
    <row r="205" spans="1:24" x14ac:dyDescent="0.3">
      <c r="A205" s="14">
        <v>44489</v>
      </c>
      <c r="B205" s="15" t="s">
        <v>300</v>
      </c>
      <c r="C205" s="16">
        <v>13899</v>
      </c>
      <c r="D205" s="15">
        <v>2012</v>
      </c>
      <c r="E205" s="15" t="s">
        <v>281</v>
      </c>
      <c r="F205" s="15" t="s">
        <v>282</v>
      </c>
      <c r="G205" s="15" t="s">
        <v>301</v>
      </c>
      <c r="H205" s="15" t="s">
        <v>262</v>
      </c>
      <c r="I205" s="17">
        <v>102670</v>
      </c>
      <c r="J205" s="15" t="b">
        <v>0</v>
      </c>
      <c r="K205" s="15" t="s">
        <v>283</v>
      </c>
      <c r="L205" s="15" t="s">
        <v>30</v>
      </c>
      <c r="M205" s="15">
        <v>375</v>
      </c>
      <c r="N205" s="15">
        <v>5</v>
      </c>
      <c r="O205" s="15" t="s">
        <v>74</v>
      </c>
      <c r="P205" s="15">
        <v>15</v>
      </c>
      <c r="Q205" s="15" t="s">
        <v>16</v>
      </c>
      <c r="R205" s="15" t="s">
        <v>17</v>
      </c>
      <c r="S205" s="15" t="b">
        <v>0</v>
      </c>
      <c r="T205" s="15">
        <v>2</v>
      </c>
      <c r="U205" s="15" t="s">
        <v>17</v>
      </c>
      <c r="V205" s="15" t="s">
        <v>17</v>
      </c>
      <c r="W205">
        <f t="shared" si="7"/>
        <v>9</v>
      </c>
      <c r="X205" t="s">
        <v>337</v>
      </c>
    </row>
    <row r="206" spans="1:24" x14ac:dyDescent="0.3">
      <c r="A206" s="14">
        <v>44489</v>
      </c>
      <c r="B206" s="15" t="s">
        <v>263</v>
      </c>
      <c r="C206" s="16">
        <v>8599</v>
      </c>
      <c r="D206" s="15">
        <v>2011</v>
      </c>
      <c r="E206" s="15" t="s">
        <v>264</v>
      </c>
      <c r="F206" s="15" t="s">
        <v>265</v>
      </c>
      <c r="G206" s="15"/>
      <c r="H206" s="15" t="s">
        <v>262</v>
      </c>
      <c r="I206" s="15">
        <v>136710</v>
      </c>
      <c r="J206" s="15" t="b">
        <v>0</v>
      </c>
      <c r="K206" s="15" t="s">
        <v>136</v>
      </c>
      <c r="L206" s="15" t="s">
        <v>30</v>
      </c>
      <c r="M206" s="15">
        <v>305</v>
      </c>
      <c r="N206" s="15">
        <v>3.7</v>
      </c>
      <c r="O206" s="15" t="s">
        <v>58</v>
      </c>
      <c r="P206" s="15">
        <v>20</v>
      </c>
      <c r="Q206" s="15" t="s">
        <v>16</v>
      </c>
      <c r="R206" s="15" t="s">
        <v>17</v>
      </c>
      <c r="S206" s="15" t="b">
        <v>0</v>
      </c>
      <c r="T206" s="15">
        <v>2</v>
      </c>
      <c r="U206" s="15" t="s">
        <v>17</v>
      </c>
      <c r="V206" s="15" t="s">
        <v>17</v>
      </c>
      <c r="W206">
        <f t="shared" si="7"/>
        <v>10</v>
      </c>
      <c r="X206" t="s">
        <v>335</v>
      </c>
    </row>
    <row r="207" spans="1:24" x14ac:dyDescent="0.3">
      <c r="A207" s="14">
        <v>44489</v>
      </c>
      <c r="B207" s="15" t="s">
        <v>291</v>
      </c>
      <c r="C207" s="16">
        <v>19995</v>
      </c>
      <c r="D207" s="15">
        <v>2018</v>
      </c>
      <c r="E207" s="15" t="s">
        <v>92</v>
      </c>
      <c r="F207" s="15" t="s">
        <v>292</v>
      </c>
      <c r="G207" s="15" t="s">
        <v>141</v>
      </c>
      <c r="H207" s="15" t="s">
        <v>262</v>
      </c>
      <c r="I207" s="17">
        <v>94309</v>
      </c>
      <c r="J207" s="15" t="b">
        <v>0</v>
      </c>
      <c r="K207" s="15" t="s">
        <v>8</v>
      </c>
      <c r="L207" s="15" t="s">
        <v>30</v>
      </c>
      <c r="M207" s="15">
        <v>187</v>
      </c>
      <c r="N207" s="15">
        <v>2.5</v>
      </c>
      <c r="O207" s="15" t="s">
        <v>13</v>
      </c>
      <c r="P207" s="15">
        <v>28</v>
      </c>
      <c r="Q207" s="15" t="s">
        <v>16</v>
      </c>
      <c r="R207" s="15" t="s">
        <v>17</v>
      </c>
      <c r="S207" s="15" t="b">
        <v>0</v>
      </c>
      <c r="T207" s="15">
        <v>2</v>
      </c>
      <c r="U207" s="15" t="s">
        <v>25</v>
      </c>
      <c r="V207" s="15" t="s">
        <v>17</v>
      </c>
      <c r="W207">
        <f t="shared" si="7"/>
        <v>3</v>
      </c>
      <c r="X207" t="s">
        <v>333</v>
      </c>
    </row>
    <row r="208" spans="1:24" x14ac:dyDescent="0.3">
      <c r="A208" s="14">
        <v>44489</v>
      </c>
      <c r="B208" s="15" t="s">
        <v>269</v>
      </c>
      <c r="C208" s="16">
        <v>7950</v>
      </c>
      <c r="D208" s="15">
        <v>2010</v>
      </c>
      <c r="E208" s="15" t="s">
        <v>44</v>
      </c>
      <c r="F208" s="15" t="s">
        <v>270</v>
      </c>
      <c r="G208" s="15" t="s">
        <v>271</v>
      </c>
      <c r="H208" s="15" t="s">
        <v>262</v>
      </c>
      <c r="I208" s="17">
        <v>147841</v>
      </c>
      <c r="J208" s="15" t="b">
        <v>0</v>
      </c>
      <c r="K208" s="15" t="s">
        <v>36</v>
      </c>
      <c r="L208" s="15" t="s">
        <v>30</v>
      </c>
      <c r="M208" s="15">
        <v>268</v>
      </c>
      <c r="N208" s="15">
        <v>3.5</v>
      </c>
      <c r="O208" s="15" t="s">
        <v>58</v>
      </c>
      <c r="P208" s="15">
        <v>18</v>
      </c>
      <c r="Q208" s="15" t="s">
        <v>16</v>
      </c>
      <c r="R208" s="15" t="s">
        <v>17</v>
      </c>
      <c r="S208" s="15" t="b">
        <v>1</v>
      </c>
      <c r="T208" s="15">
        <v>4</v>
      </c>
      <c r="U208" s="15" t="s">
        <v>17</v>
      </c>
      <c r="V208" s="15" t="s">
        <v>17</v>
      </c>
      <c r="W208">
        <f t="shared" si="7"/>
        <v>11</v>
      </c>
      <c r="X208" t="s">
        <v>334</v>
      </c>
    </row>
    <row r="209" spans="1:24" x14ac:dyDescent="0.3">
      <c r="A209" s="14">
        <v>44489</v>
      </c>
      <c r="B209" s="15" t="s">
        <v>302</v>
      </c>
      <c r="C209" s="16">
        <v>12499</v>
      </c>
      <c r="D209" s="15">
        <v>2012</v>
      </c>
      <c r="E209" s="15" t="s">
        <v>44</v>
      </c>
      <c r="F209" s="15" t="s">
        <v>303</v>
      </c>
      <c r="G209" s="15" t="s">
        <v>304</v>
      </c>
      <c r="H209" s="15" t="s">
        <v>262</v>
      </c>
      <c r="I209" s="17">
        <v>106520</v>
      </c>
      <c r="J209" s="15" t="b">
        <v>0</v>
      </c>
      <c r="K209" s="15" t="s">
        <v>136</v>
      </c>
      <c r="L209" s="15" t="s">
        <v>30</v>
      </c>
      <c r="M209" s="15">
        <v>268</v>
      </c>
      <c r="N209" s="15">
        <v>3.5</v>
      </c>
      <c r="O209" s="15" t="s">
        <v>58</v>
      </c>
      <c r="P209" s="15">
        <v>18</v>
      </c>
      <c r="Q209" s="15" t="s">
        <v>16</v>
      </c>
      <c r="R209" s="15" t="s">
        <v>17</v>
      </c>
      <c r="S209" s="15" t="b">
        <v>0</v>
      </c>
      <c r="T209" s="15">
        <v>3</v>
      </c>
      <c r="U209" s="15" t="s">
        <v>17</v>
      </c>
      <c r="V209" s="15" t="s">
        <v>17</v>
      </c>
      <c r="W209">
        <f t="shared" si="7"/>
        <v>9</v>
      </c>
      <c r="X209" t="s">
        <v>334</v>
      </c>
    </row>
    <row r="210" spans="1:24" x14ac:dyDescent="0.3">
      <c r="A210" s="14">
        <v>44489</v>
      </c>
      <c r="B210" s="15" t="s">
        <v>272</v>
      </c>
      <c r="C210" s="16">
        <v>5500</v>
      </c>
      <c r="D210" s="15">
        <v>2009</v>
      </c>
      <c r="E210" s="15" t="s">
        <v>203</v>
      </c>
      <c r="F210" s="15" t="s">
        <v>273</v>
      </c>
      <c r="G210" s="15" t="s">
        <v>274</v>
      </c>
      <c r="H210" s="15" t="s">
        <v>262</v>
      </c>
      <c r="I210" s="17">
        <v>160000</v>
      </c>
      <c r="J210" s="15" t="b">
        <v>1</v>
      </c>
      <c r="K210" s="15" t="s">
        <v>136</v>
      </c>
      <c r="L210" s="15" t="s">
        <v>30</v>
      </c>
      <c r="M210" s="15">
        <v>170</v>
      </c>
      <c r="N210" s="15">
        <v>2.5</v>
      </c>
      <c r="O210" s="15" t="s">
        <v>205</v>
      </c>
      <c r="P210" s="15">
        <v>23</v>
      </c>
      <c r="Q210" s="15" t="s">
        <v>16</v>
      </c>
      <c r="R210" s="15" t="s">
        <v>17</v>
      </c>
      <c r="S210" s="15" t="b">
        <v>1</v>
      </c>
      <c r="T210" s="15">
        <v>2</v>
      </c>
      <c r="U210" s="15" t="s">
        <v>17</v>
      </c>
      <c r="V210" s="15" t="s">
        <v>17</v>
      </c>
      <c r="W210">
        <f t="shared" si="7"/>
        <v>12</v>
      </c>
      <c r="X210" t="s">
        <v>333</v>
      </c>
    </row>
    <row r="211" spans="1:24" x14ac:dyDescent="0.3">
      <c r="A211" s="14">
        <v>44489</v>
      </c>
      <c r="B211" s="15" t="s">
        <v>267</v>
      </c>
      <c r="C211" s="16">
        <v>4999</v>
      </c>
      <c r="D211" s="15">
        <v>2006</v>
      </c>
      <c r="E211" s="15" t="s">
        <v>68</v>
      </c>
      <c r="F211" s="15" t="s">
        <v>268</v>
      </c>
      <c r="G211" s="15" t="s">
        <v>204</v>
      </c>
      <c r="H211" s="15" t="s">
        <v>262</v>
      </c>
      <c r="I211" s="17">
        <v>233784</v>
      </c>
      <c r="J211" s="15" t="b">
        <v>0</v>
      </c>
      <c r="K211" s="15" t="s">
        <v>36</v>
      </c>
      <c r="L211" s="15" t="s">
        <v>30</v>
      </c>
      <c r="M211" s="15">
        <v>273</v>
      </c>
      <c r="N211" s="15">
        <v>4.7</v>
      </c>
      <c r="O211" s="15" t="s">
        <v>74</v>
      </c>
      <c r="P211" s="15">
        <v>15</v>
      </c>
      <c r="Q211" s="15" t="s">
        <v>16</v>
      </c>
      <c r="R211" s="15" t="s">
        <v>17</v>
      </c>
      <c r="S211" s="15" t="b">
        <v>1</v>
      </c>
      <c r="T211" s="15">
        <v>4</v>
      </c>
      <c r="U211" s="15" t="s">
        <v>17</v>
      </c>
      <c r="V211" s="15" t="s">
        <v>17</v>
      </c>
      <c r="W211">
        <f t="shared" si="7"/>
        <v>15</v>
      </c>
      <c r="X211" t="s">
        <v>333</v>
      </c>
    </row>
    <row r="212" spans="1:24" x14ac:dyDescent="0.3">
      <c r="A212" s="14">
        <v>44489</v>
      </c>
      <c r="B212" s="15" t="s">
        <v>317</v>
      </c>
      <c r="C212" s="16">
        <v>26619</v>
      </c>
      <c r="D212" s="15">
        <v>2019</v>
      </c>
      <c r="E212" s="15" t="s">
        <v>68</v>
      </c>
      <c r="F212" s="15" t="s">
        <v>318</v>
      </c>
      <c r="G212" s="15" t="s">
        <v>319</v>
      </c>
      <c r="H212" s="15" t="s">
        <v>262</v>
      </c>
      <c r="I212" s="17">
        <v>12111</v>
      </c>
      <c r="J212" s="15" t="b">
        <v>0</v>
      </c>
      <c r="K212" s="15" t="s">
        <v>136</v>
      </c>
      <c r="L212" s="15" t="s">
        <v>30</v>
      </c>
      <c r="M212" s="15">
        <v>203</v>
      </c>
      <c r="N212" s="15">
        <v>2.5</v>
      </c>
      <c r="O212" s="15" t="s">
        <v>13</v>
      </c>
      <c r="P212" s="15">
        <v>29</v>
      </c>
      <c r="Q212" s="15" t="s">
        <v>16</v>
      </c>
      <c r="R212" s="15" t="s">
        <v>17</v>
      </c>
      <c r="S212" s="15" t="b">
        <v>0</v>
      </c>
      <c r="T212" s="15">
        <v>1</v>
      </c>
      <c r="U212" s="15" t="s">
        <v>17</v>
      </c>
      <c r="V212" s="15" t="s">
        <v>17</v>
      </c>
      <c r="W212">
        <f t="shared" si="7"/>
        <v>2</v>
      </c>
      <c r="X212" t="s">
        <v>333</v>
      </c>
    </row>
    <row r="213" spans="1:24" x14ac:dyDescent="0.3">
      <c r="A213" s="14">
        <v>44489</v>
      </c>
      <c r="B213" s="15" t="s">
        <v>308</v>
      </c>
      <c r="C213" s="16">
        <v>18193</v>
      </c>
      <c r="D213" s="15">
        <v>2012</v>
      </c>
      <c r="E213" s="15" t="s">
        <v>94</v>
      </c>
      <c r="F213" s="15" t="s">
        <v>309</v>
      </c>
      <c r="G213" s="15" t="s">
        <v>310</v>
      </c>
      <c r="H213" s="15" t="s">
        <v>262</v>
      </c>
      <c r="I213" s="17">
        <v>75500</v>
      </c>
      <c r="J213" s="15" t="b">
        <v>0</v>
      </c>
      <c r="K213" s="15" t="s">
        <v>136</v>
      </c>
      <c r="L213" s="15" t="s">
        <v>266</v>
      </c>
      <c r="M213" s="15">
        <v>225</v>
      </c>
      <c r="N213" s="15">
        <v>3</v>
      </c>
      <c r="O213" s="15" t="s">
        <v>58</v>
      </c>
      <c r="P213" s="15">
        <v>23</v>
      </c>
      <c r="Q213" s="15" t="s">
        <v>16</v>
      </c>
      <c r="R213" s="15" t="s">
        <v>17</v>
      </c>
      <c r="S213" s="15" t="b">
        <v>0</v>
      </c>
      <c r="T213" s="15">
        <v>2</v>
      </c>
      <c r="U213" s="15" t="s">
        <v>17</v>
      </c>
      <c r="V213" s="15" t="s">
        <v>25</v>
      </c>
      <c r="W213">
        <f t="shared" si="7"/>
        <v>9</v>
      </c>
      <c r="X213" t="s">
        <v>334</v>
      </c>
    </row>
    <row r="214" spans="1:24" x14ac:dyDescent="0.3">
      <c r="A214" s="14">
        <v>44489</v>
      </c>
      <c r="B214" s="15" t="s">
        <v>315</v>
      </c>
      <c r="C214" s="16">
        <v>21995</v>
      </c>
      <c r="D214" s="15">
        <v>2020</v>
      </c>
      <c r="E214" s="15" t="s">
        <v>94</v>
      </c>
      <c r="F214" s="15" t="s">
        <v>316</v>
      </c>
      <c r="G214" s="15" t="s">
        <v>29</v>
      </c>
      <c r="H214" s="15" t="s">
        <v>262</v>
      </c>
      <c r="I214" s="17">
        <v>14215</v>
      </c>
      <c r="J214" s="15" t="b">
        <v>0</v>
      </c>
      <c r="K214" s="15" t="s">
        <v>8</v>
      </c>
      <c r="L214" s="15" t="s">
        <v>30</v>
      </c>
      <c r="M214" s="15">
        <v>184</v>
      </c>
      <c r="N214" s="15">
        <v>2</v>
      </c>
      <c r="O214" s="15" t="s">
        <v>13</v>
      </c>
      <c r="P214" s="15">
        <v>25</v>
      </c>
      <c r="Q214" s="15" t="s">
        <v>16</v>
      </c>
      <c r="R214" s="15" t="s">
        <v>17</v>
      </c>
      <c r="S214" s="15" t="b">
        <v>0</v>
      </c>
      <c r="T214" s="15">
        <v>1</v>
      </c>
      <c r="U214" s="15" t="s">
        <v>17</v>
      </c>
      <c r="V214" s="15" t="s">
        <v>17</v>
      </c>
      <c r="W214">
        <f t="shared" si="7"/>
        <v>1</v>
      </c>
      <c r="X214" t="s">
        <v>334</v>
      </c>
    </row>
  </sheetData>
  <sortState xmlns:xlrd2="http://schemas.microsoft.com/office/spreadsheetml/2017/richdata2" ref="A2:Y114">
    <sortCondition ref="H1:H114"/>
  </sortState>
  <conditionalFormatting sqref="T2:V55 A2:F55 H2:R55">
    <cfRule type="containsBlanks" dxfId="4" priority="2">
      <formula>LEN(TRIM(A2))=0</formula>
    </cfRule>
  </conditionalFormatting>
  <conditionalFormatting sqref="A192:F214 H192:V214">
    <cfRule type="containsBlanks" dxfId="3" priority="1">
      <formula>LEN(TRIM(A192))=0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E08E0-5BA5-4765-83C6-2D707261F258}">
  <dimension ref="A1:X55"/>
  <sheetViews>
    <sheetView zoomScaleNormal="100" workbookViewId="0">
      <pane xSplit="8" ySplit="1" topLeftCell="J2" activePane="bottomRight" state="frozen"/>
      <selection pane="topRight" activeCell="H1" sqref="H1"/>
      <selection pane="bottomLeft" activeCell="A2" sqref="A2"/>
      <selection pane="bottomRight"/>
    </sheetView>
  </sheetViews>
  <sheetFormatPr defaultRowHeight="14.4" x14ac:dyDescent="0.3"/>
  <cols>
    <col min="1" max="1" width="10.5546875" bestFit="1" customWidth="1"/>
    <col min="3" max="3" width="8.5546875" style="3" bestFit="1" customWidth="1"/>
    <col min="12" max="12" width="4.44140625" bestFit="1" customWidth="1"/>
    <col min="13" max="13" width="4" bestFit="1" customWidth="1"/>
    <col min="15" max="15" width="6.6640625" bestFit="1" customWidth="1"/>
    <col min="17" max="17" width="5.33203125" bestFit="1" customWidth="1"/>
    <col min="19" max="19" width="7.33203125" bestFit="1" customWidth="1"/>
  </cols>
  <sheetData>
    <row r="1" spans="1:24" s="1" customFormat="1" x14ac:dyDescent="0.3">
      <c r="A1" s="1" t="s">
        <v>166</v>
      </c>
      <c r="B1" s="1" t="s">
        <v>0</v>
      </c>
      <c r="C1" s="7" t="s">
        <v>331</v>
      </c>
      <c r="D1" s="1" t="s">
        <v>2</v>
      </c>
      <c r="E1" s="1" t="s">
        <v>1</v>
      </c>
      <c r="F1" s="1" t="s">
        <v>3</v>
      </c>
      <c r="G1" s="1" t="s">
        <v>4</v>
      </c>
      <c r="H1" s="1" t="s">
        <v>18</v>
      </c>
      <c r="I1" s="5" t="s">
        <v>6</v>
      </c>
      <c r="J1" s="1" t="s">
        <v>330</v>
      </c>
      <c r="K1" s="1" t="s">
        <v>7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14</v>
      </c>
      <c r="Q1" s="1" t="s">
        <v>15</v>
      </c>
      <c r="R1" s="1" t="s">
        <v>80</v>
      </c>
      <c r="S1" s="1" t="s">
        <v>328</v>
      </c>
      <c r="T1" s="1" t="s">
        <v>23</v>
      </c>
      <c r="U1" s="1" t="s">
        <v>24</v>
      </c>
      <c r="V1" s="1" t="s">
        <v>31</v>
      </c>
      <c r="W1" s="1" t="s">
        <v>329</v>
      </c>
      <c r="X1" s="1" t="s">
        <v>332</v>
      </c>
    </row>
    <row r="2" spans="1:24" x14ac:dyDescent="0.3">
      <c r="A2" s="9">
        <v>44489</v>
      </c>
      <c r="B2" s="10" t="s">
        <v>37</v>
      </c>
      <c r="C2" s="11">
        <v>8995</v>
      </c>
      <c r="D2" s="10">
        <v>2003</v>
      </c>
      <c r="E2" s="10" t="s">
        <v>38</v>
      </c>
      <c r="F2" s="10" t="s">
        <v>39</v>
      </c>
      <c r="G2" s="10" t="s">
        <v>40</v>
      </c>
      <c r="H2" s="10" t="s">
        <v>22</v>
      </c>
      <c r="I2" s="12">
        <v>58223</v>
      </c>
      <c r="J2" s="10" t="b">
        <v>0</v>
      </c>
      <c r="K2" s="10" t="s">
        <v>8</v>
      </c>
      <c r="L2" s="10" t="s">
        <v>30</v>
      </c>
      <c r="M2" s="10">
        <v>180</v>
      </c>
      <c r="N2" s="10">
        <v>1.8</v>
      </c>
      <c r="O2" s="10" t="s">
        <v>13</v>
      </c>
      <c r="P2" s="10">
        <v>22</v>
      </c>
      <c r="Q2" s="10" t="s">
        <v>16</v>
      </c>
      <c r="R2" s="10" t="s">
        <v>17</v>
      </c>
      <c r="S2" s="10" t="b">
        <v>0</v>
      </c>
      <c r="T2" s="10">
        <v>4</v>
      </c>
      <c r="U2" s="10" t="s">
        <v>17</v>
      </c>
      <c r="V2" s="10" t="s">
        <v>17</v>
      </c>
      <c r="W2" s="10">
        <f t="shared" ref="W2:W33" si="0">2021-D2</f>
        <v>18</v>
      </c>
      <c r="X2" s="10" t="s">
        <v>334</v>
      </c>
    </row>
    <row r="3" spans="1:24" x14ac:dyDescent="0.3">
      <c r="A3" s="9">
        <v>44489</v>
      </c>
      <c r="B3" s="10" t="s">
        <v>96</v>
      </c>
      <c r="C3" s="11">
        <v>19995</v>
      </c>
      <c r="D3" s="10">
        <v>2011</v>
      </c>
      <c r="E3" s="10" t="s">
        <v>38</v>
      </c>
      <c r="F3" s="10" t="s">
        <v>97</v>
      </c>
      <c r="G3" s="10" t="s">
        <v>98</v>
      </c>
      <c r="H3" s="10" t="s">
        <v>22</v>
      </c>
      <c r="I3" s="12">
        <v>50340</v>
      </c>
      <c r="J3" s="10" t="b">
        <v>0</v>
      </c>
      <c r="K3" s="10" t="s">
        <v>8</v>
      </c>
      <c r="L3" s="10" t="s">
        <v>30</v>
      </c>
      <c r="M3" s="10">
        <v>211</v>
      </c>
      <c r="N3" s="10">
        <v>2</v>
      </c>
      <c r="O3" s="10" t="s">
        <v>13</v>
      </c>
      <c r="P3" s="10">
        <v>26</v>
      </c>
      <c r="Q3" s="10" t="s">
        <v>16</v>
      </c>
      <c r="R3" s="10" t="s">
        <v>17</v>
      </c>
      <c r="S3" s="10" t="b">
        <v>0</v>
      </c>
      <c r="T3" s="10">
        <v>2</v>
      </c>
      <c r="U3" s="10" t="s">
        <v>17</v>
      </c>
      <c r="V3" s="10" t="s">
        <v>17</v>
      </c>
      <c r="W3" s="10">
        <f t="shared" si="0"/>
        <v>10</v>
      </c>
      <c r="X3" s="10" t="s">
        <v>334</v>
      </c>
    </row>
    <row r="4" spans="1:24" x14ac:dyDescent="0.3">
      <c r="A4" s="9">
        <v>44489</v>
      </c>
      <c r="B4" s="10" t="s">
        <v>41</v>
      </c>
      <c r="C4" s="11">
        <v>5900</v>
      </c>
      <c r="D4" s="10">
        <v>1996</v>
      </c>
      <c r="E4" s="10" t="s">
        <v>42</v>
      </c>
      <c r="F4" s="10" t="s">
        <v>43</v>
      </c>
      <c r="G4" s="10">
        <v>1.9</v>
      </c>
      <c r="H4" s="10" t="s">
        <v>22</v>
      </c>
      <c r="I4" s="12">
        <v>181650</v>
      </c>
      <c r="J4" s="10" t="b">
        <v>1</v>
      </c>
      <c r="K4" s="10" t="s">
        <v>36</v>
      </c>
      <c r="L4" s="10" t="s">
        <v>30</v>
      </c>
      <c r="M4" s="10">
        <v>138</v>
      </c>
      <c r="N4" s="10">
        <v>1.9</v>
      </c>
      <c r="O4" s="10" t="s">
        <v>13</v>
      </c>
      <c r="P4" s="10">
        <v>24</v>
      </c>
      <c r="Q4" s="10" t="s">
        <v>16</v>
      </c>
      <c r="R4" s="10" t="s">
        <v>17</v>
      </c>
      <c r="S4" s="10" t="b">
        <v>0</v>
      </c>
      <c r="T4" s="10">
        <v>6</v>
      </c>
      <c r="U4" s="10" t="s">
        <v>17</v>
      </c>
      <c r="V4" s="10" t="s">
        <v>17</v>
      </c>
      <c r="W4" s="10">
        <f t="shared" si="0"/>
        <v>25</v>
      </c>
      <c r="X4" s="10" t="s">
        <v>334</v>
      </c>
    </row>
    <row r="5" spans="1:24" x14ac:dyDescent="0.3">
      <c r="A5" s="9">
        <v>44489</v>
      </c>
      <c r="B5" s="10" t="s">
        <v>50</v>
      </c>
      <c r="C5" s="11">
        <v>9495</v>
      </c>
      <c r="D5" s="10">
        <v>2008</v>
      </c>
      <c r="E5" s="10" t="s">
        <v>42</v>
      </c>
      <c r="F5" s="10" t="s">
        <v>51</v>
      </c>
      <c r="G5" s="10" t="s">
        <v>52</v>
      </c>
      <c r="H5" s="10" t="s">
        <v>22</v>
      </c>
      <c r="I5" s="12">
        <v>113826</v>
      </c>
      <c r="J5" s="10" t="b">
        <v>1</v>
      </c>
      <c r="K5" s="10" t="s">
        <v>36</v>
      </c>
      <c r="L5" s="10" t="s">
        <v>30</v>
      </c>
      <c r="M5" s="10">
        <v>230</v>
      </c>
      <c r="N5" s="10">
        <v>3</v>
      </c>
      <c r="O5" s="10" t="s">
        <v>49</v>
      </c>
      <c r="P5" s="10">
        <v>21</v>
      </c>
      <c r="Q5" s="10" t="s">
        <v>16</v>
      </c>
      <c r="R5" s="10" t="s">
        <v>17</v>
      </c>
      <c r="S5" s="10" t="b">
        <v>0</v>
      </c>
      <c r="T5" s="10">
        <v>4</v>
      </c>
      <c r="U5" s="10" t="s">
        <v>17</v>
      </c>
      <c r="V5" s="10" t="s">
        <v>17</v>
      </c>
      <c r="W5" s="10">
        <f t="shared" si="0"/>
        <v>13</v>
      </c>
      <c r="X5" s="10" t="s">
        <v>334</v>
      </c>
    </row>
    <row r="6" spans="1:24" x14ac:dyDescent="0.3">
      <c r="A6" s="9">
        <v>44489</v>
      </c>
      <c r="B6" s="10" t="s">
        <v>53</v>
      </c>
      <c r="C6" s="11">
        <v>9495</v>
      </c>
      <c r="D6" s="10">
        <v>2002</v>
      </c>
      <c r="E6" s="10" t="s">
        <v>42</v>
      </c>
      <c r="F6" s="10" t="s">
        <v>51</v>
      </c>
      <c r="G6" s="10" t="s">
        <v>54</v>
      </c>
      <c r="H6" s="10" t="s">
        <v>22</v>
      </c>
      <c r="I6" s="12">
        <v>107355</v>
      </c>
      <c r="J6" s="10" t="b">
        <v>1</v>
      </c>
      <c r="K6" s="10" t="s">
        <v>36</v>
      </c>
      <c r="L6" s="10" t="s">
        <v>30</v>
      </c>
      <c r="M6" s="10">
        <v>225</v>
      </c>
      <c r="N6" s="10">
        <v>3</v>
      </c>
      <c r="O6" s="10" t="s">
        <v>49</v>
      </c>
      <c r="P6" s="10">
        <v>21</v>
      </c>
      <c r="Q6" s="10" t="s">
        <v>16</v>
      </c>
      <c r="R6" s="10" t="s">
        <v>17</v>
      </c>
      <c r="S6" s="10" t="b">
        <v>0</v>
      </c>
      <c r="T6" s="10">
        <v>5</v>
      </c>
      <c r="U6" s="10" t="s">
        <v>17</v>
      </c>
      <c r="V6" s="10" t="s">
        <v>17</v>
      </c>
      <c r="W6" s="10">
        <f t="shared" si="0"/>
        <v>19</v>
      </c>
      <c r="X6" s="10" t="s">
        <v>334</v>
      </c>
    </row>
    <row r="7" spans="1:24" x14ac:dyDescent="0.3">
      <c r="A7" s="9">
        <v>44489</v>
      </c>
      <c r="B7" s="10" t="s">
        <v>102</v>
      </c>
      <c r="C7" s="11">
        <v>20000</v>
      </c>
      <c r="D7" s="10">
        <v>2005</v>
      </c>
      <c r="E7" s="10" t="s">
        <v>42</v>
      </c>
      <c r="F7" s="10" t="s">
        <v>51</v>
      </c>
      <c r="G7" s="10" t="s">
        <v>103</v>
      </c>
      <c r="H7" s="10" t="s">
        <v>22</v>
      </c>
      <c r="I7" s="12">
        <v>75020</v>
      </c>
      <c r="J7" s="10" t="b">
        <v>1</v>
      </c>
      <c r="K7" s="10" t="s">
        <v>36</v>
      </c>
      <c r="L7" s="10" t="s">
        <v>30</v>
      </c>
      <c r="M7" s="10">
        <v>333</v>
      </c>
      <c r="N7" s="10">
        <v>3.2</v>
      </c>
      <c r="O7" s="10" t="s">
        <v>49</v>
      </c>
      <c r="P7" s="10">
        <v>17</v>
      </c>
      <c r="Q7" s="10" t="s">
        <v>16</v>
      </c>
      <c r="R7" s="10" t="s">
        <v>17</v>
      </c>
      <c r="S7" s="10" t="b">
        <v>0</v>
      </c>
      <c r="T7" s="10">
        <v>2</v>
      </c>
      <c r="U7" s="10" t="s">
        <v>17</v>
      </c>
      <c r="V7" s="10" t="s">
        <v>17</v>
      </c>
      <c r="W7" s="10">
        <f t="shared" si="0"/>
        <v>16</v>
      </c>
      <c r="X7" s="10" t="s">
        <v>334</v>
      </c>
    </row>
    <row r="8" spans="1:24" x14ac:dyDescent="0.3">
      <c r="A8" s="9">
        <v>44489</v>
      </c>
      <c r="B8" s="10" t="s">
        <v>105</v>
      </c>
      <c r="C8" s="11">
        <v>19999</v>
      </c>
      <c r="D8" s="10">
        <v>2006</v>
      </c>
      <c r="E8" s="10" t="s">
        <v>42</v>
      </c>
      <c r="F8" s="10" t="s">
        <v>51</v>
      </c>
      <c r="G8" s="10" t="s">
        <v>103</v>
      </c>
      <c r="H8" s="10" t="s">
        <v>22</v>
      </c>
      <c r="I8" s="12">
        <v>151543</v>
      </c>
      <c r="J8" s="10" t="b">
        <v>1</v>
      </c>
      <c r="K8" s="10" t="s">
        <v>36</v>
      </c>
      <c r="L8" s="10" t="s">
        <v>30</v>
      </c>
      <c r="M8" s="10">
        <v>333</v>
      </c>
      <c r="N8" s="10">
        <v>3.2</v>
      </c>
      <c r="O8" s="10" t="s">
        <v>49</v>
      </c>
      <c r="P8" s="10">
        <v>17</v>
      </c>
      <c r="Q8" s="10" t="s">
        <v>16</v>
      </c>
      <c r="R8" s="10" t="s">
        <v>17</v>
      </c>
      <c r="S8" s="10" t="b">
        <v>1</v>
      </c>
      <c r="T8" s="10">
        <v>4</v>
      </c>
      <c r="U8" s="10" t="s">
        <v>17</v>
      </c>
      <c r="V8" s="10" t="s">
        <v>25</v>
      </c>
      <c r="W8" s="10">
        <f t="shared" si="0"/>
        <v>15</v>
      </c>
      <c r="X8" s="10" t="s">
        <v>334</v>
      </c>
    </row>
    <row r="9" spans="1:24" x14ac:dyDescent="0.3">
      <c r="A9" s="9">
        <v>44489</v>
      </c>
      <c r="B9" s="10" t="s">
        <v>150</v>
      </c>
      <c r="C9" s="11">
        <v>29495</v>
      </c>
      <c r="D9" s="10">
        <v>2005</v>
      </c>
      <c r="E9" s="10" t="s">
        <v>42</v>
      </c>
      <c r="F9" s="10" t="s">
        <v>51</v>
      </c>
      <c r="G9" s="10" t="s">
        <v>103</v>
      </c>
      <c r="H9" s="10" t="s">
        <v>22</v>
      </c>
      <c r="I9" s="12">
        <v>91750</v>
      </c>
      <c r="J9" s="10" t="b">
        <v>1</v>
      </c>
      <c r="K9" s="10" t="s">
        <v>36</v>
      </c>
      <c r="L9" s="10" t="s">
        <v>30</v>
      </c>
      <c r="M9" s="10">
        <v>333</v>
      </c>
      <c r="N9" s="10">
        <v>3.2</v>
      </c>
      <c r="O9" s="10" t="s">
        <v>49</v>
      </c>
      <c r="P9" s="10">
        <v>17</v>
      </c>
      <c r="Q9" s="10" t="s">
        <v>16</v>
      </c>
      <c r="R9" s="10" t="s">
        <v>17</v>
      </c>
      <c r="S9" s="10" t="b">
        <v>1</v>
      </c>
      <c r="T9" s="10">
        <v>5</v>
      </c>
      <c r="U9" s="10" t="s">
        <v>17</v>
      </c>
      <c r="V9" s="10" t="s">
        <v>25</v>
      </c>
      <c r="W9" s="10">
        <f t="shared" si="0"/>
        <v>16</v>
      </c>
      <c r="X9" s="10" t="s">
        <v>334</v>
      </c>
    </row>
    <row r="10" spans="1:24" x14ac:dyDescent="0.3">
      <c r="A10" s="9">
        <v>44489</v>
      </c>
      <c r="B10" s="10" t="s">
        <v>46</v>
      </c>
      <c r="C10" s="11">
        <v>8699</v>
      </c>
      <c r="D10" s="10">
        <v>2003</v>
      </c>
      <c r="E10" s="10" t="s">
        <v>42</v>
      </c>
      <c r="F10" s="10" t="s">
        <v>47</v>
      </c>
      <c r="G10" s="10" t="s">
        <v>48</v>
      </c>
      <c r="H10" s="10" t="s">
        <v>22</v>
      </c>
      <c r="I10" s="12">
        <v>68327</v>
      </c>
      <c r="J10" s="10" t="b">
        <v>0</v>
      </c>
      <c r="K10" s="10" t="s">
        <v>36</v>
      </c>
      <c r="L10" s="10" t="s">
        <v>30</v>
      </c>
      <c r="M10" s="10">
        <v>184</v>
      </c>
      <c r="N10" s="10">
        <v>2.5</v>
      </c>
      <c r="O10" s="10" t="s">
        <v>49</v>
      </c>
      <c r="P10" s="10">
        <v>22</v>
      </c>
      <c r="Q10" s="10" t="s">
        <v>16</v>
      </c>
      <c r="R10" s="10" t="s">
        <v>17</v>
      </c>
      <c r="S10" s="10" t="b">
        <v>1</v>
      </c>
      <c r="T10" s="10">
        <v>1</v>
      </c>
      <c r="U10" s="10" t="s">
        <v>17</v>
      </c>
      <c r="V10" s="10" t="s">
        <v>17</v>
      </c>
      <c r="W10" s="10">
        <f t="shared" si="0"/>
        <v>18</v>
      </c>
      <c r="X10" s="10" t="s">
        <v>334</v>
      </c>
    </row>
    <row r="11" spans="1:24" x14ac:dyDescent="0.3">
      <c r="A11" s="9">
        <v>44489</v>
      </c>
      <c r="B11" s="10" t="s">
        <v>99</v>
      </c>
      <c r="C11" s="11">
        <v>19991</v>
      </c>
      <c r="D11" s="10">
        <v>2013</v>
      </c>
      <c r="E11" s="10" t="s">
        <v>42</v>
      </c>
      <c r="F11" s="10" t="s">
        <v>51</v>
      </c>
      <c r="G11" s="10" t="s">
        <v>100</v>
      </c>
      <c r="H11" s="10" t="s">
        <v>22</v>
      </c>
      <c r="I11" s="12">
        <v>80758</v>
      </c>
      <c r="J11" s="10" t="b">
        <v>0</v>
      </c>
      <c r="K11" s="10" t="s">
        <v>36</v>
      </c>
      <c r="L11" s="10" t="s">
        <v>30</v>
      </c>
      <c r="M11" s="10">
        <v>300</v>
      </c>
      <c r="N11" s="10">
        <v>3</v>
      </c>
      <c r="O11" s="10" t="s">
        <v>49</v>
      </c>
      <c r="P11" s="10">
        <v>22</v>
      </c>
      <c r="Q11" s="10" t="s">
        <v>16</v>
      </c>
      <c r="R11" s="10" t="s">
        <v>17</v>
      </c>
      <c r="S11" s="10" t="b">
        <v>0</v>
      </c>
      <c r="T11" s="10">
        <v>1</v>
      </c>
      <c r="U11" s="10" t="s">
        <v>17</v>
      </c>
      <c r="V11" s="10" t="s">
        <v>17</v>
      </c>
      <c r="W11" s="10">
        <f t="shared" si="0"/>
        <v>8</v>
      </c>
      <c r="X11" s="10" t="s">
        <v>334</v>
      </c>
    </row>
    <row r="12" spans="1:24" x14ac:dyDescent="0.3">
      <c r="A12" s="9">
        <v>44489</v>
      </c>
      <c r="B12" s="10" t="s">
        <v>101</v>
      </c>
      <c r="C12" s="11">
        <v>12499</v>
      </c>
      <c r="D12" s="10">
        <v>2011</v>
      </c>
      <c r="E12" s="10" t="s">
        <v>42</v>
      </c>
      <c r="F12" s="10" t="s">
        <v>51</v>
      </c>
      <c r="G12" s="10" t="s">
        <v>52</v>
      </c>
      <c r="H12" s="10" t="s">
        <v>22</v>
      </c>
      <c r="I12" s="12">
        <v>71300</v>
      </c>
      <c r="J12" s="10" t="b">
        <v>0</v>
      </c>
      <c r="K12" s="10" t="s">
        <v>36</v>
      </c>
      <c r="L12" s="10" t="s">
        <v>30</v>
      </c>
      <c r="M12" s="10">
        <v>230</v>
      </c>
      <c r="N12" s="10">
        <v>3</v>
      </c>
      <c r="O12" s="10" t="s">
        <v>49</v>
      </c>
      <c r="P12" s="10">
        <v>22</v>
      </c>
      <c r="Q12" s="10" t="s">
        <v>16</v>
      </c>
      <c r="R12" s="10" t="s">
        <v>17</v>
      </c>
      <c r="S12" s="10" t="b">
        <v>0</v>
      </c>
      <c r="T12" s="10">
        <v>6</v>
      </c>
      <c r="U12" s="10" t="s">
        <v>17</v>
      </c>
      <c r="V12" s="10" t="s">
        <v>17</v>
      </c>
      <c r="W12" s="10">
        <f t="shared" si="0"/>
        <v>10</v>
      </c>
      <c r="X12" s="10" t="s">
        <v>334</v>
      </c>
    </row>
    <row r="13" spans="1:24" x14ac:dyDescent="0.3">
      <c r="A13" s="9">
        <v>44489</v>
      </c>
      <c r="B13" s="10" t="s">
        <v>104</v>
      </c>
      <c r="C13" s="11">
        <v>11991</v>
      </c>
      <c r="D13" s="10">
        <v>2003</v>
      </c>
      <c r="E13" s="10" t="s">
        <v>42</v>
      </c>
      <c r="F13" s="10" t="s">
        <v>47</v>
      </c>
      <c r="G13" s="10" t="s">
        <v>48</v>
      </c>
      <c r="H13" s="10" t="s">
        <v>22</v>
      </c>
      <c r="I13" s="12">
        <v>40508</v>
      </c>
      <c r="J13" s="10" t="b">
        <v>0</v>
      </c>
      <c r="K13" s="10" t="s">
        <v>36</v>
      </c>
      <c r="L13" s="10" t="s">
        <v>30</v>
      </c>
      <c r="M13" s="10">
        <v>184</v>
      </c>
      <c r="N13" s="10">
        <v>2.5</v>
      </c>
      <c r="O13" s="10" t="s">
        <v>49</v>
      </c>
      <c r="P13" s="10">
        <v>22</v>
      </c>
      <c r="Q13" s="10" t="s">
        <v>16</v>
      </c>
      <c r="R13" s="10" t="s">
        <v>17</v>
      </c>
      <c r="S13" s="10" t="b">
        <v>0</v>
      </c>
      <c r="T13" s="10">
        <v>4</v>
      </c>
      <c r="U13" s="10" t="s">
        <v>17</v>
      </c>
      <c r="V13" s="10" t="s">
        <v>17</v>
      </c>
      <c r="W13" s="10">
        <f t="shared" si="0"/>
        <v>18</v>
      </c>
      <c r="X13" s="10" t="s">
        <v>334</v>
      </c>
    </row>
    <row r="14" spans="1:24" x14ac:dyDescent="0.3">
      <c r="A14" s="9">
        <v>44489</v>
      </c>
      <c r="B14" s="10" t="s">
        <v>121</v>
      </c>
      <c r="C14" s="11">
        <v>17995</v>
      </c>
      <c r="D14" s="10">
        <v>2008</v>
      </c>
      <c r="E14" s="10" t="s">
        <v>42</v>
      </c>
      <c r="F14" s="10" t="s">
        <v>122</v>
      </c>
      <c r="G14" s="10" t="s">
        <v>123</v>
      </c>
      <c r="H14" s="10" t="s">
        <v>22</v>
      </c>
      <c r="I14" s="12">
        <v>69291</v>
      </c>
      <c r="J14" s="10" t="b">
        <v>0</v>
      </c>
      <c r="K14" s="10" t="s">
        <v>36</v>
      </c>
      <c r="L14" s="10" t="s">
        <v>30</v>
      </c>
      <c r="M14" s="10">
        <v>360</v>
      </c>
      <c r="N14" s="10">
        <v>4.8</v>
      </c>
      <c r="O14" s="10" t="s">
        <v>74</v>
      </c>
      <c r="P14" s="10">
        <v>19</v>
      </c>
      <c r="Q14" s="10" t="s">
        <v>16</v>
      </c>
      <c r="R14" s="10" t="s">
        <v>17</v>
      </c>
      <c r="S14" s="10" t="b">
        <v>0</v>
      </c>
      <c r="T14" s="10">
        <v>4</v>
      </c>
      <c r="U14" s="10" t="s">
        <v>17</v>
      </c>
      <c r="V14" s="10" t="s">
        <v>25</v>
      </c>
      <c r="W14" s="10">
        <f t="shared" si="0"/>
        <v>13</v>
      </c>
      <c r="X14" s="10" t="s">
        <v>334</v>
      </c>
    </row>
    <row r="15" spans="1:24" x14ac:dyDescent="0.3">
      <c r="A15" s="9">
        <v>44489</v>
      </c>
      <c r="B15" s="10" t="s">
        <v>137</v>
      </c>
      <c r="C15" s="11">
        <v>24988</v>
      </c>
      <c r="D15" s="10">
        <v>2016</v>
      </c>
      <c r="E15" s="10" t="s">
        <v>42</v>
      </c>
      <c r="F15" s="10" t="s">
        <v>138</v>
      </c>
      <c r="G15" s="10" t="s">
        <v>139</v>
      </c>
      <c r="H15" s="10" t="s">
        <v>22</v>
      </c>
      <c r="I15" s="12">
        <v>66110</v>
      </c>
      <c r="J15" s="10" t="b">
        <v>0</v>
      </c>
      <c r="K15" s="10" t="s">
        <v>36</v>
      </c>
      <c r="L15" s="10" t="s">
        <v>30</v>
      </c>
      <c r="M15" s="10">
        <v>240</v>
      </c>
      <c r="N15" s="10">
        <v>2</v>
      </c>
      <c r="O15" s="10" t="s">
        <v>13</v>
      </c>
      <c r="P15" s="10">
        <v>28</v>
      </c>
      <c r="Q15" s="10" t="s">
        <v>16</v>
      </c>
      <c r="R15" s="10" t="s">
        <v>25</v>
      </c>
      <c r="S15" s="10" t="b">
        <v>0</v>
      </c>
      <c r="T15" s="10">
        <v>2</v>
      </c>
      <c r="U15" s="10" t="s">
        <v>17</v>
      </c>
      <c r="V15" s="10" t="s">
        <v>25</v>
      </c>
      <c r="W15" s="10">
        <f t="shared" si="0"/>
        <v>5</v>
      </c>
      <c r="X15" s="10" t="s">
        <v>334</v>
      </c>
    </row>
    <row r="16" spans="1:24" x14ac:dyDescent="0.3">
      <c r="A16" s="9">
        <v>44489</v>
      </c>
      <c r="B16" s="10" t="s">
        <v>147</v>
      </c>
      <c r="C16" s="11">
        <v>25643</v>
      </c>
      <c r="D16" s="10">
        <v>2013</v>
      </c>
      <c r="E16" s="10" t="s">
        <v>42</v>
      </c>
      <c r="F16" s="10" t="s">
        <v>148</v>
      </c>
      <c r="G16" s="10" t="s">
        <v>149</v>
      </c>
      <c r="H16" s="10" t="s">
        <v>22</v>
      </c>
      <c r="I16" s="12">
        <v>43561</v>
      </c>
      <c r="J16" s="10" t="b">
        <v>0</v>
      </c>
      <c r="K16" s="10" t="s">
        <v>36</v>
      </c>
      <c r="L16" s="10" t="s">
        <v>30</v>
      </c>
      <c r="M16" s="10">
        <v>300</v>
      </c>
      <c r="N16" s="10">
        <v>3</v>
      </c>
      <c r="O16" s="10" t="s">
        <v>49</v>
      </c>
      <c r="P16" s="10">
        <v>21</v>
      </c>
      <c r="Q16" s="10" t="s">
        <v>16</v>
      </c>
      <c r="R16" s="10" t="s">
        <v>17</v>
      </c>
      <c r="S16" s="10" t="b">
        <v>0</v>
      </c>
      <c r="T16" s="10">
        <v>3</v>
      </c>
      <c r="U16" s="10" t="s">
        <v>17</v>
      </c>
      <c r="V16" s="10" t="s">
        <v>17</v>
      </c>
      <c r="W16" s="10">
        <f t="shared" si="0"/>
        <v>8</v>
      </c>
      <c r="X16" s="10" t="s">
        <v>334</v>
      </c>
    </row>
    <row r="17" spans="1:24" x14ac:dyDescent="0.3">
      <c r="A17" s="9">
        <v>44489</v>
      </c>
      <c r="B17" s="10" t="s">
        <v>151</v>
      </c>
      <c r="C17" s="11">
        <v>25591</v>
      </c>
      <c r="D17" s="10">
        <v>2015</v>
      </c>
      <c r="E17" s="10" t="s">
        <v>42</v>
      </c>
      <c r="F17" s="10" t="s">
        <v>138</v>
      </c>
      <c r="G17" s="10" t="s">
        <v>152</v>
      </c>
      <c r="H17" s="10" t="s">
        <v>22</v>
      </c>
      <c r="I17" s="12">
        <v>76131</v>
      </c>
      <c r="J17" s="10" t="b">
        <v>0</v>
      </c>
      <c r="K17" s="10" t="s">
        <v>36</v>
      </c>
      <c r="L17" s="10" t="s">
        <v>30</v>
      </c>
      <c r="M17" s="10">
        <v>300</v>
      </c>
      <c r="N17" s="10">
        <v>3</v>
      </c>
      <c r="O17" s="10" t="s">
        <v>49</v>
      </c>
      <c r="P17" s="10">
        <v>25</v>
      </c>
      <c r="Q17" s="10" t="s">
        <v>16</v>
      </c>
      <c r="R17" s="10" t="s">
        <v>17</v>
      </c>
      <c r="S17" s="10" t="b">
        <v>0</v>
      </c>
      <c r="T17" s="10">
        <v>2</v>
      </c>
      <c r="U17" s="10" t="s">
        <v>17</v>
      </c>
      <c r="V17" s="10" t="s">
        <v>17</v>
      </c>
      <c r="W17" s="10">
        <f t="shared" si="0"/>
        <v>6</v>
      </c>
      <c r="X17" s="10" t="s">
        <v>334</v>
      </c>
    </row>
    <row r="18" spans="1:24" x14ac:dyDescent="0.3">
      <c r="A18" s="9">
        <v>44489</v>
      </c>
      <c r="B18" s="10" t="s">
        <v>118</v>
      </c>
      <c r="C18" s="11">
        <v>18995</v>
      </c>
      <c r="D18" s="10">
        <v>2005</v>
      </c>
      <c r="E18" s="10" t="s">
        <v>119</v>
      </c>
      <c r="F18" s="10" t="s">
        <v>120</v>
      </c>
      <c r="G18" s="10"/>
      <c r="H18" s="10" t="s">
        <v>22</v>
      </c>
      <c r="I18" s="12">
        <v>82533</v>
      </c>
      <c r="J18" s="10" t="b">
        <v>0</v>
      </c>
      <c r="K18" s="10" t="s">
        <v>36</v>
      </c>
      <c r="L18" s="10" t="s">
        <v>30</v>
      </c>
      <c r="M18" s="10">
        <v>320</v>
      </c>
      <c r="N18" s="10">
        <v>4.5999999999999996</v>
      </c>
      <c r="O18" s="10" t="s">
        <v>74</v>
      </c>
      <c r="P18" s="10">
        <v>19</v>
      </c>
      <c r="Q18" s="10" t="s">
        <v>16</v>
      </c>
      <c r="R18" s="10" t="s">
        <v>17</v>
      </c>
      <c r="S18" s="10" t="b">
        <v>0</v>
      </c>
      <c r="T18" s="10">
        <v>5</v>
      </c>
      <c r="U18" s="10" t="s">
        <v>17</v>
      </c>
      <c r="V18" s="10" t="s">
        <v>17</v>
      </c>
      <c r="W18" s="10">
        <f t="shared" si="0"/>
        <v>16</v>
      </c>
      <c r="X18" s="10" t="s">
        <v>335</v>
      </c>
    </row>
    <row r="19" spans="1:24" x14ac:dyDescent="0.3">
      <c r="A19" s="9">
        <v>44489</v>
      </c>
      <c r="B19" s="10" t="s">
        <v>112</v>
      </c>
      <c r="C19" s="11">
        <v>13995</v>
      </c>
      <c r="D19" s="10">
        <v>2002</v>
      </c>
      <c r="E19" s="10" t="s">
        <v>76</v>
      </c>
      <c r="F19" s="10" t="s">
        <v>77</v>
      </c>
      <c r="G19" s="10"/>
      <c r="H19" s="10" t="s">
        <v>22</v>
      </c>
      <c r="I19" s="12">
        <v>99993</v>
      </c>
      <c r="J19" s="10" t="b">
        <v>1</v>
      </c>
      <c r="K19" s="10" t="s">
        <v>36</v>
      </c>
      <c r="L19" s="10" t="s">
        <v>30</v>
      </c>
      <c r="M19" s="10">
        <v>350</v>
      </c>
      <c r="N19" s="10">
        <v>5.7</v>
      </c>
      <c r="O19" s="10" t="s">
        <v>74</v>
      </c>
      <c r="P19" s="10">
        <v>21</v>
      </c>
      <c r="Q19" s="10" t="s">
        <v>16</v>
      </c>
      <c r="R19" s="10" t="s">
        <v>17</v>
      </c>
      <c r="S19" s="10" t="b">
        <v>1</v>
      </c>
      <c r="T19" s="10">
        <v>3</v>
      </c>
      <c r="U19" s="10" t="s">
        <v>17</v>
      </c>
      <c r="V19" s="10" t="s">
        <v>17</v>
      </c>
      <c r="W19" s="10">
        <f t="shared" si="0"/>
        <v>19</v>
      </c>
      <c r="X19" s="10" t="s">
        <v>335</v>
      </c>
    </row>
    <row r="20" spans="1:24" x14ac:dyDescent="0.3">
      <c r="A20" s="9">
        <v>44489</v>
      </c>
      <c r="B20" s="10" t="s">
        <v>160</v>
      </c>
      <c r="C20" s="11">
        <v>20995</v>
      </c>
      <c r="D20" s="10">
        <v>2005</v>
      </c>
      <c r="E20" s="10" t="s">
        <v>76</v>
      </c>
      <c r="F20" s="10" t="s">
        <v>77</v>
      </c>
      <c r="G20" s="10"/>
      <c r="H20" s="10" t="s">
        <v>22</v>
      </c>
      <c r="I20" s="12">
        <v>86973</v>
      </c>
      <c r="J20" s="10" t="b">
        <v>1</v>
      </c>
      <c r="K20" s="10" t="s">
        <v>36</v>
      </c>
      <c r="L20" s="10" t="s">
        <v>30</v>
      </c>
      <c r="M20" s="10">
        <v>400</v>
      </c>
      <c r="N20" s="10">
        <v>6</v>
      </c>
      <c r="O20" s="10" t="s">
        <v>74</v>
      </c>
      <c r="P20" s="10">
        <v>21</v>
      </c>
      <c r="Q20" s="10" t="s">
        <v>16</v>
      </c>
      <c r="R20" s="10" t="s">
        <v>17</v>
      </c>
      <c r="S20" s="10" t="b">
        <v>0</v>
      </c>
      <c r="T20" s="10">
        <v>1</v>
      </c>
      <c r="U20" s="10" t="s">
        <v>17</v>
      </c>
      <c r="V20" s="10" t="s">
        <v>17</v>
      </c>
      <c r="W20" s="10">
        <f t="shared" si="0"/>
        <v>16</v>
      </c>
      <c r="X20" s="10" t="s">
        <v>335</v>
      </c>
    </row>
    <row r="21" spans="1:24" x14ac:dyDescent="0.3">
      <c r="A21" s="9">
        <v>44489</v>
      </c>
      <c r="B21" s="10" t="s">
        <v>75</v>
      </c>
      <c r="C21" s="11">
        <v>9498</v>
      </c>
      <c r="D21" s="10">
        <v>1989</v>
      </c>
      <c r="E21" s="10" t="s">
        <v>76</v>
      </c>
      <c r="F21" s="10" t="s">
        <v>77</v>
      </c>
      <c r="G21" s="10"/>
      <c r="H21" s="10" t="s">
        <v>22</v>
      </c>
      <c r="I21" s="12">
        <v>99200</v>
      </c>
      <c r="J21" s="10" t="b">
        <v>0</v>
      </c>
      <c r="K21" s="10" t="s">
        <v>36</v>
      </c>
      <c r="L21" s="10" t="s">
        <v>30</v>
      </c>
      <c r="M21" s="10">
        <v>254</v>
      </c>
      <c r="N21" s="10">
        <v>5.7</v>
      </c>
      <c r="O21" s="10" t="s">
        <v>74</v>
      </c>
      <c r="P21" s="10">
        <v>19</v>
      </c>
      <c r="Q21" s="10" t="s">
        <v>16</v>
      </c>
      <c r="R21" s="10" t="s">
        <v>17</v>
      </c>
      <c r="S21" s="10" t="b">
        <v>0</v>
      </c>
      <c r="T21" s="10">
        <v>7</v>
      </c>
      <c r="U21" s="10" t="s">
        <v>17</v>
      </c>
      <c r="V21" s="10" t="s">
        <v>25</v>
      </c>
      <c r="W21" s="10">
        <f t="shared" si="0"/>
        <v>32</v>
      </c>
      <c r="X21" s="10" t="s">
        <v>335</v>
      </c>
    </row>
    <row r="22" spans="1:24" x14ac:dyDescent="0.3">
      <c r="A22" s="9">
        <v>44489</v>
      </c>
      <c r="B22" s="10" t="s">
        <v>156</v>
      </c>
      <c r="C22" s="11">
        <v>27591</v>
      </c>
      <c r="D22" s="10">
        <v>2018</v>
      </c>
      <c r="E22" s="10" t="s">
        <v>76</v>
      </c>
      <c r="F22" s="10" t="s">
        <v>157</v>
      </c>
      <c r="G22" s="10" t="s">
        <v>158</v>
      </c>
      <c r="H22" s="10" t="s">
        <v>22</v>
      </c>
      <c r="I22" s="12">
        <v>37249</v>
      </c>
      <c r="J22" s="10" t="b">
        <v>0</v>
      </c>
      <c r="K22" s="10" t="s">
        <v>36</v>
      </c>
      <c r="L22" s="10" t="s">
        <v>30</v>
      </c>
      <c r="M22" s="10">
        <v>335</v>
      </c>
      <c r="N22" s="10">
        <v>3.6</v>
      </c>
      <c r="O22" s="10" t="s">
        <v>58</v>
      </c>
      <c r="P22" s="10">
        <v>24</v>
      </c>
      <c r="Q22" s="10" t="s">
        <v>16</v>
      </c>
      <c r="R22" s="10" t="s">
        <v>17</v>
      </c>
      <c r="S22" s="10" t="b">
        <v>0</v>
      </c>
      <c r="T22" s="10">
        <v>2</v>
      </c>
      <c r="U22" s="10" t="s">
        <v>17</v>
      </c>
      <c r="V22" s="10" t="s">
        <v>17</v>
      </c>
      <c r="W22" s="10">
        <f t="shared" si="0"/>
        <v>3</v>
      </c>
      <c r="X22" s="10" t="s">
        <v>335</v>
      </c>
    </row>
    <row r="23" spans="1:24" x14ac:dyDescent="0.3">
      <c r="A23" s="9">
        <v>44489</v>
      </c>
      <c r="B23" s="10" t="s">
        <v>19</v>
      </c>
      <c r="C23" s="11">
        <v>3990</v>
      </c>
      <c r="D23" s="10">
        <v>2007</v>
      </c>
      <c r="E23" s="10" t="s">
        <v>20</v>
      </c>
      <c r="F23" s="10" t="s">
        <v>21</v>
      </c>
      <c r="G23" s="10"/>
      <c r="H23" s="10" t="s">
        <v>22</v>
      </c>
      <c r="I23" s="10">
        <v>126396</v>
      </c>
      <c r="J23" s="10" t="b">
        <v>0</v>
      </c>
      <c r="K23" s="10" t="s">
        <v>8</v>
      </c>
      <c r="L23" s="10" t="s">
        <v>30</v>
      </c>
      <c r="M23" s="10">
        <v>150</v>
      </c>
      <c r="N23" s="10">
        <v>2.4</v>
      </c>
      <c r="O23" s="10" t="s">
        <v>13</v>
      </c>
      <c r="P23" s="10">
        <v>21</v>
      </c>
      <c r="Q23" s="10" t="s">
        <v>16</v>
      </c>
      <c r="R23" s="10" t="s">
        <v>17</v>
      </c>
      <c r="S23" s="10" t="b">
        <v>0</v>
      </c>
      <c r="T23" s="10">
        <v>5</v>
      </c>
      <c r="U23" s="10" t="s">
        <v>25</v>
      </c>
      <c r="V23" s="10" t="s">
        <v>17</v>
      </c>
      <c r="W23" s="10">
        <f t="shared" si="0"/>
        <v>14</v>
      </c>
      <c r="X23" s="10" t="s">
        <v>335</v>
      </c>
    </row>
    <row r="24" spans="1:24" x14ac:dyDescent="0.3">
      <c r="A24" s="9">
        <v>44489</v>
      </c>
      <c r="B24" s="10" t="s">
        <v>71</v>
      </c>
      <c r="C24" s="11">
        <v>7999</v>
      </c>
      <c r="D24" s="10">
        <v>2010</v>
      </c>
      <c r="E24" s="10" t="s">
        <v>20</v>
      </c>
      <c r="F24" s="10" t="s">
        <v>72</v>
      </c>
      <c r="G24" s="10" t="s">
        <v>57</v>
      </c>
      <c r="H24" s="10" t="s">
        <v>22</v>
      </c>
      <c r="I24" s="12">
        <v>92009</v>
      </c>
      <c r="J24" s="10" t="b">
        <v>0</v>
      </c>
      <c r="K24" s="10" t="s">
        <v>8</v>
      </c>
      <c r="L24" s="10" t="s">
        <v>73</v>
      </c>
      <c r="M24" s="10">
        <v>186</v>
      </c>
      <c r="N24" s="10">
        <v>2.7</v>
      </c>
      <c r="O24" s="10" t="s">
        <v>58</v>
      </c>
      <c r="P24" s="10">
        <v>22</v>
      </c>
      <c r="Q24" s="10" t="s">
        <v>16</v>
      </c>
      <c r="R24" s="10" t="s">
        <v>17</v>
      </c>
      <c r="S24" s="10" t="b">
        <v>0</v>
      </c>
      <c r="T24" s="10">
        <v>3</v>
      </c>
      <c r="U24" s="10" t="s">
        <v>17</v>
      </c>
      <c r="V24" s="10" t="s">
        <v>17</v>
      </c>
      <c r="W24" s="10">
        <f t="shared" si="0"/>
        <v>11</v>
      </c>
      <c r="X24" s="10" t="s">
        <v>335</v>
      </c>
    </row>
    <row r="25" spans="1:24" x14ac:dyDescent="0.3">
      <c r="A25" s="9">
        <v>44489</v>
      </c>
      <c r="B25" s="10" t="s">
        <v>111</v>
      </c>
      <c r="C25" s="11">
        <v>11900</v>
      </c>
      <c r="D25" s="10">
        <v>2013</v>
      </c>
      <c r="E25" s="10" t="s">
        <v>20</v>
      </c>
      <c r="F25" s="10">
        <v>200</v>
      </c>
      <c r="G25" s="10" t="s">
        <v>29</v>
      </c>
      <c r="H25" s="10" t="s">
        <v>22</v>
      </c>
      <c r="I25" s="12">
        <v>37343</v>
      </c>
      <c r="J25" s="10" t="b">
        <v>0</v>
      </c>
      <c r="K25" s="10" t="s">
        <v>8</v>
      </c>
      <c r="L25" s="10" t="s">
        <v>73</v>
      </c>
      <c r="M25" s="10">
        <v>283</v>
      </c>
      <c r="N25" s="10">
        <v>3.6</v>
      </c>
      <c r="O25" s="10" t="s">
        <v>58</v>
      </c>
      <c r="P25" s="10">
        <v>24</v>
      </c>
      <c r="Q25" s="10" t="s">
        <v>16</v>
      </c>
      <c r="R25" s="10" t="s">
        <v>17</v>
      </c>
      <c r="S25" s="10" t="b">
        <v>0</v>
      </c>
      <c r="T25" s="10">
        <v>3</v>
      </c>
      <c r="U25" s="10" t="s">
        <v>17</v>
      </c>
      <c r="V25" s="10" t="s">
        <v>17</v>
      </c>
      <c r="W25" s="10">
        <f t="shared" si="0"/>
        <v>8</v>
      </c>
      <c r="X25" s="10" t="s">
        <v>335</v>
      </c>
    </row>
    <row r="26" spans="1:24" x14ac:dyDescent="0.3">
      <c r="A26" s="9">
        <v>44489</v>
      </c>
      <c r="B26" s="10" t="s">
        <v>88</v>
      </c>
      <c r="C26" s="11">
        <v>10995</v>
      </c>
      <c r="D26" s="10">
        <v>2014</v>
      </c>
      <c r="E26" s="10" t="s">
        <v>89</v>
      </c>
      <c r="F26" s="10">
        <v>500</v>
      </c>
      <c r="G26" s="10" t="s">
        <v>90</v>
      </c>
      <c r="H26" s="10" t="s">
        <v>22</v>
      </c>
      <c r="I26" s="12">
        <v>35445</v>
      </c>
      <c r="J26" s="10" t="b">
        <v>1</v>
      </c>
      <c r="K26" s="10" t="s">
        <v>8</v>
      </c>
      <c r="L26" s="10" t="s">
        <v>30</v>
      </c>
      <c r="M26" s="10">
        <v>160</v>
      </c>
      <c r="N26" s="10">
        <v>1.4</v>
      </c>
      <c r="O26" s="10" t="s">
        <v>13</v>
      </c>
      <c r="P26" s="10">
        <v>31</v>
      </c>
      <c r="Q26" s="10" t="s">
        <v>16</v>
      </c>
      <c r="R26" s="10" t="s">
        <v>17</v>
      </c>
      <c r="S26" s="10" t="b">
        <v>0</v>
      </c>
      <c r="T26" s="10">
        <v>5</v>
      </c>
      <c r="U26" s="10" t="s">
        <v>17</v>
      </c>
      <c r="V26" s="10" t="s">
        <v>17</v>
      </c>
      <c r="W26" s="10">
        <f t="shared" si="0"/>
        <v>7</v>
      </c>
      <c r="X26" s="10" t="s">
        <v>336</v>
      </c>
    </row>
    <row r="27" spans="1:24" x14ac:dyDescent="0.3">
      <c r="A27" s="9">
        <v>44489</v>
      </c>
      <c r="B27" s="10" t="s">
        <v>142</v>
      </c>
      <c r="C27" s="11">
        <v>24000</v>
      </c>
      <c r="D27" s="10">
        <v>2017</v>
      </c>
      <c r="E27" s="10" t="s">
        <v>89</v>
      </c>
      <c r="F27" s="10" t="s">
        <v>143</v>
      </c>
      <c r="G27" s="10"/>
      <c r="H27" s="10" t="s">
        <v>22</v>
      </c>
      <c r="I27" s="12">
        <v>25637</v>
      </c>
      <c r="J27" s="10" t="b">
        <v>1</v>
      </c>
      <c r="K27" s="10" t="s">
        <v>36</v>
      </c>
      <c r="L27" s="10" t="s">
        <v>30</v>
      </c>
      <c r="M27" s="10">
        <v>160</v>
      </c>
      <c r="N27" s="10">
        <v>1.4</v>
      </c>
      <c r="O27" s="10" t="s">
        <v>13</v>
      </c>
      <c r="P27" s="10">
        <v>30</v>
      </c>
      <c r="Q27" s="10" t="s">
        <v>16</v>
      </c>
      <c r="R27" s="10" t="s">
        <v>17</v>
      </c>
      <c r="S27" s="10" t="b">
        <v>0</v>
      </c>
      <c r="T27" s="10">
        <v>3</v>
      </c>
      <c r="U27" s="10" t="s">
        <v>17</v>
      </c>
      <c r="V27" s="10" t="s">
        <v>17</v>
      </c>
      <c r="W27" s="10">
        <f t="shared" si="0"/>
        <v>4</v>
      </c>
      <c r="X27" s="10" t="s">
        <v>336</v>
      </c>
    </row>
    <row r="28" spans="1:24" x14ac:dyDescent="0.3">
      <c r="A28" s="9">
        <v>44489</v>
      </c>
      <c r="B28" s="10" t="s">
        <v>62</v>
      </c>
      <c r="C28" s="11">
        <v>9998</v>
      </c>
      <c r="D28" s="10">
        <v>2010</v>
      </c>
      <c r="E28" s="10" t="s">
        <v>63</v>
      </c>
      <c r="F28" s="10" t="s">
        <v>64</v>
      </c>
      <c r="G28" s="10"/>
      <c r="H28" s="10" t="s">
        <v>22</v>
      </c>
      <c r="I28" s="12">
        <v>134690</v>
      </c>
      <c r="J28" s="10" t="b">
        <v>0</v>
      </c>
      <c r="K28" s="10" t="s">
        <v>36</v>
      </c>
      <c r="L28" s="10" t="s">
        <v>30</v>
      </c>
      <c r="M28" s="10">
        <v>210</v>
      </c>
      <c r="N28" s="10">
        <v>4</v>
      </c>
      <c r="O28" s="10" t="s">
        <v>58</v>
      </c>
      <c r="P28" s="10">
        <v>20</v>
      </c>
      <c r="Q28" s="10" t="s">
        <v>16</v>
      </c>
      <c r="R28" s="10" t="s">
        <v>17</v>
      </c>
      <c r="S28" s="10" t="b">
        <v>1</v>
      </c>
      <c r="T28" s="10">
        <v>7</v>
      </c>
      <c r="U28" s="10" t="s">
        <v>25</v>
      </c>
      <c r="V28" s="10" t="s">
        <v>17</v>
      </c>
      <c r="W28" s="10">
        <f t="shared" si="0"/>
        <v>11</v>
      </c>
      <c r="X28" s="10" t="s">
        <v>335</v>
      </c>
    </row>
    <row r="29" spans="1:24" x14ac:dyDescent="0.3">
      <c r="A29" s="9">
        <v>44489</v>
      </c>
      <c r="B29" s="10" t="s">
        <v>115</v>
      </c>
      <c r="C29" s="11">
        <v>14999</v>
      </c>
      <c r="D29" s="10">
        <v>2002</v>
      </c>
      <c r="E29" s="10" t="s">
        <v>63</v>
      </c>
      <c r="F29" s="10" t="s">
        <v>116</v>
      </c>
      <c r="G29" s="10" t="s">
        <v>117</v>
      </c>
      <c r="H29" s="10" t="s">
        <v>22</v>
      </c>
      <c r="I29" s="12">
        <v>61031</v>
      </c>
      <c r="J29" s="10" t="b">
        <v>0</v>
      </c>
      <c r="K29" s="10" t="s">
        <v>36</v>
      </c>
      <c r="L29" s="10" t="s">
        <v>30</v>
      </c>
      <c r="M29" s="10">
        <v>252</v>
      </c>
      <c r="N29" s="10">
        <v>3.9</v>
      </c>
      <c r="O29" s="10" t="s">
        <v>74</v>
      </c>
      <c r="P29" s="10">
        <v>18</v>
      </c>
      <c r="Q29" s="10" t="s">
        <v>16</v>
      </c>
      <c r="R29" s="10" t="s">
        <v>17</v>
      </c>
      <c r="S29" s="10" t="b">
        <v>0</v>
      </c>
      <c r="T29" s="10">
        <v>3</v>
      </c>
      <c r="U29" s="10" t="s">
        <v>17</v>
      </c>
      <c r="V29" s="10" t="s">
        <v>17</v>
      </c>
      <c r="W29" s="10">
        <f t="shared" si="0"/>
        <v>19</v>
      </c>
      <c r="X29" s="10" t="s">
        <v>335</v>
      </c>
    </row>
    <row r="30" spans="1:24" x14ac:dyDescent="0.3">
      <c r="A30" s="9">
        <v>44489</v>
      </c>
      <c r="B30" s="10" t="s">
        <v>59</v>
      </c>
      <c r="C30" s="11">
        <v>8800</v>
      </c>
      <c r="D30" s="10">
        <v>2009</v>
      </c>
      <c r="E30" s="10" t="s">
        <v>60</v>
      </c>
      <c r="F30" s="10" t="s">
        <v>61</v>
      </c>
      <c r="G30" s="10"/>
      <c r="H30" s="10" t="s">
        <v>22</v>
      </c>
      <c r="I30" s="12">
        <v>133112</v>
      </c>
      <c r="J30" s="10" t="b">
        <v>0</v>
      </c>
      <c r="K30" s="10" t="s">
        <v>36</v>
      </c>
      <c r="L30" s="10" t="s">
        <v>30</v>
      </c>
      <c r="M30" s="10">
        <v>325</v>
      </c>
      <c r="N30" s="10">
        <v>3.7</v>
      </c>
      <c r="O30" s="10" t="s">
        <v>58</v>
      </c>
      <c r="P30" s="10">
        <v>21</v>
      </c>
      <c r="Q30" s="10" t="s">
        <v>16</v>
      </c>
      <c r="R30" s="10" t="s">
        <v>17</v>
      </c>
      <c r="S30" s="10" t="b">
        <v>1</v>
      </c>
      <c r="T30" s="10">
        <v>3</v>
      </c>
      <c r="U30" s="10" t="s">
        <v>17</v>
      </c>
      <c r="V30" s="10" t="s">
        <v>17</v>
      </c>
      <c r="W30" s="10">
        <f t="shared" si="0"/>
        <v>12</v>
      </c>
      <c r="X30" s="10" t="s">
        <v>333</v>
      </c>
    </row>
    <row r="31" spans="1:24" x14ac:dyDescent="0.3">
      <c r="A31" s="9">
        <v>44489</v>
      </c>
      <c r="B31" s="10" t="s">
        <v>159</v>
      </c>
      <c r="C31" s="11">
        <v>21951</v>
      </c>
      <c r="D31" s="10">
        <v>2013</v>
      </c>
      <c r="E31" s="10" t="s">
        <v>60</v>
      </c>
      <c r="F31" s="10" t="s">
        <v>61</v>
      </c>
      <c r="G31" s="10"/>
      <c r="H31" s="10" t="s">
        <v>22</v>
      </c>
      <c r="I31" s="12">
        <v>46326</v>
      </c>
      <c r="J31" s="10" t="b">
        <v>0</v>
      </c>
      <c r="K31" s="10" t="s">
        <v>36</v>
      </c>
      <c r="L31" s="10" t="s">
        <v>30</v>
      </c>
      <c r="M31" s="10">
        <v>325</v>
      </c>
      <c r="N31" s="10">
        <v>3.7</v>
      </c>
      <c r="O31" s="10" t="s">
        <v>58</v>
      </c>
      <c r="P31" s="10">
        <v>21</v>
      </c>
      <c r="Q31" s="10" t="s">
        <v>16</v>
      </c>
      <c r="R31" s="10" t="s">
        <v>17</v>
      </c>
      <c r="S31" s="10" t="b">
        <v>0</v>
      </c>
      <c r="T31" s="10">
        <v>2</v>
      </c>
      <c r="U31" s="10" t="s">
        <v>17</v>
      </c>
      <c r="V31" s="10" t="s">
        <v>17</v>
      </c>
      <c r="W31" s="10">
        <f t="shared" si="0"/>
        <v>8</v>
      </c>
      <c r="X31" s="10" t="s">
        <v>333</v>
      </c>
    </row>
    <row r="32" spans="1:24" x14ac:dyDescent="0.3">
      <c r="A32" s="9">
        <v>44489</v>
      </c>
      <c r="B32" s="10" t="s">
        <v>127</v>
      </c>
      <c r="C32" s="11">
        <v>11595</v>
      </c>
      <c r="D32" s="10">
        <v>2000</v>
      </c>
      <c r="E32" s="10" t="s">
        <v>128</v>
      </c>
      <c r="F32" s="10" t="s">
        <v>129</v>
      </c>
      <c r="G32" s="10" t="s">
        <v>130</v>
      </c>
      <c r="H32" s="10" t="s">
        <v>22</v>
      </c>
      <c r="I32" s="12">
        <v>84168</v>
      </c>
      <c r="J32" s="10" t="b">
        <v>0</v>
      </c>
      <c r="K32" s="10" t="s">
        <v>36</v>
      </c>
      <c r="L32" s="10" t="s">
        <v>30</v>
      </c>
      <c r="M32" s="10">
        <v>290</v>
      </c>
      <c r="N32" s="10">
        <v>4</v>
      </c>
      <c r="O32" s="10" t="s">
        <v>74</v>
      </c>
      <c r="P32" s="10">
        <v>18</v>
      </c>
      <c r="Q32" s="10" t="s">
        <v>16</v>
      </c>
      <c r="R32" s="10" t="s">
        <v>17</v>
      </c>
      <c r="S32" s="10" t="b">
        <v>1</v>
      </c>
      <c r="T32" s="10">
        <v>6</v>
      </c>
      <c r="U32" s="10" t="s">
        <v>17</v>
      </c>
      <c r="V32" s="10" t="s">
        <v>17</v>
      </c>
      <c r="W32" s="10">
        <f t="shared" si="0"/>
        <v>21</v>
      </c>
      <c r="X32" s="10" t="s">
        <v>337</v>
      </c>
    </row>
    <row r="33" spans="1:24" x14ac:dyDescent="0.3">
      <c r="A33" s="9">
        <v>44489</v>
      </c>
      <c r="B33" s="10" t="s">
        <v>161</v>
      </c>
      <c r="C33" s="11">
        <v>22998</v>
      </c>
      <c r="D33" s="10">
        <v>2007</v>
      </c>
      <c r="E33" s="10" t="s">
        <v>128</v>
      </c>
      <c r="F33" s="10" t="s">
        <v>129</v>
      </c>
      <c r="G33" s="10" t="s">
        <v>162</v>
      </c>
      <c r="H33" s="10" t="s">
        <v>22</v>
      </c>
      <c r="I33" s="12">
        <v>43102</v>
      </c>
      <c r="J33" s="10" t="b">
        <v>0</v>
      </c>
      <c r="K33" s="10" t="s">
        <v>36</v>
      </c>
      <c r="L33" s="10" t="s">
        <v>30</v>
      </c>
      <c r="M33" s="10">
        <v>300</v>
      </c>
      <c r="N33" s="10">
        <v>4.2</v>
      </c>
      <c r="O33" s="10" t="s">
        <v>74</v>
      </c>
      <c r="P33" s="10">
        <v>20</v>
      </c>
      <c r="Q33" s="10" t="s">
        <v>16</v>
      </c>
      <c r="R33" s="10" t="s">
        <v>17</v>
      </c>
      <c r="S33" s="10" t="b">
        <v>0</v>
      </c>
      <c r="T33" s="10">
        <v>2</v>
      </c>
      <c r="U33" s="10" t="s">
        <v>17</v>
      </c>
      <c r="V33" s="10" t="s">
        <v>17</v>
      </c>
      <c r="W33" s="10">
        <f t="shared" si="0"/>
        <v>14</v>
      </c>
      <c r="X33" s="10" t="s">
        <v>337</v>
      </c>
    </row>
    <row r="34" spans="1:24" x14ac:dyDescent="0.3">
      <c r="A34" s="9">
        <v>44489</v>
      </c>
      <c r="B34" s="10" t="s">
        <v>106</v>
      </c>
      <c r="C34" s="11">
        <v>14000</v>
      </c>
      <c r="D34" s="10">
        <v>2010</v>
      </c>
      <c r="E34" s="10" t="s">
        <v>107</v>
      </c>
      <c r="F34" s="10" t="s">
        <v>108</v>
      </c>
      <c r="G34" s="10"/>
      <c r="H34" s="10" t="s">
        <v>22</v>
      </c>
      <c r="I34" s="12">
        <v>74000</v>
      </c>
      <c r="J34" s="10" t="b">
        <v>0</v>
      </c>
      <c r="K34" s="10" t="s">
        <v>36</v>
      </c>
      <c r="L34" s="10" t="s">
        <v>30</v>
      </c>
      <c r="M34" s="10">
        <v>204</v>
      </c>
      <c r="N34" s="10">
        <v>2.5</v>
      </c>
      <c r="O34" s="10" t="s">
        <v>58</v>
      </c>
      <c r="P34" s="10">
        <v>25</v>
      </c>
      <c r="Q34" s="10" t="s">
        <v>16</v>
      </c>
      <c r="R34" s="10" t="s">
        <v>17</v>
      </c>
      <c r="S34" s="10" t="b">
        <v>1</v>
      </c>
      <c r="T34" s="10">
        <v>3</v>
      </c>
      <c r="U34" s="10" t="s">
        <v>17</v>
      </c>
      <c r="V34" s="10" t="s">
        <v>25</v>
      </c>
      <c r="W34" s="10">
        <f t="shared" ref="W34:W55" si="1">2021-D34</f>
        <v>11</v>
      </c>
      <c r="X34" s="10" t="s">
        <v>333</v>
      </c>
    </row>
    <row r="35" spans="1:24" x14ac:dyDescent="0.3">
      <c r="A35" s="9">
        <v>44489</v>
      </c>
      <c r="B35" s="10" t="s">
        <v>113</v>
      </c>
      <c r="C35" s="11">
        <v>11995</v>
      </c>
      <c r="D35" s="10">
        <v>2004</v>
      </c>
      <c r="E35" s="10" t="s">
        <v>107</v>
      </c>
      <c r="F35" s="10" t="s">
        <v>114</v>
      </c>
      <c r="G35" s="10"/>
      <c r="H35" s="10" t="s">
        <v>22</v>
      </c>
      <c r="I35" s="12">
        <v>134426</v>
      </c>
      <c r="J35" s="10" t="b">
        <v>0</v>
      </c>
      <c r="K35" s="10" t="s">
        <v>36</v>
      </c>
      <c r="L35" s="10" t="s">
        <v>30</v>
      </c>
      <c r="M35" s="10">
        <v>300</v>
      </c>
      <c r="N35" s="10">
        <v>4.3</v>
      </c>
      <c r="O35" s="10" t="s">
        <v>74</v>
      </c>
      <c r="P35" s="10">
        <v>19</v>
      </c>
      <c r="Q35" s="10" t="s">
        <v>16</v>
      </c>
      <c r="R35" s="10" t="s">
        <v>17</v>
      </c>
      <c r="S35" s="10" t="b">
        <v>1</v>
      </c>
      <c r="T35" s="10">
        <v>3</v>
      </c>
      <c r="U35" s="10" t="s">
        <v>17</v>
      </c>
      <c r="V35" s="10" t="s">
        <v>17</v>
      </c>
      <c r="W35" s="10">
        <f t="shared" si="1"/>
        <v>17</v>
      </c>
      <c r="X35" s="10" t="s">
        <v>333</v>
      </c>
    </row>
    <row r="36" spans="1:24" x14ac:dyDescent="0.3">
      <c r="A36" s="9">
        <v>44489</v>
      </c>
      <c r="B36" s="10" t="s">
        <v>91</v>
      </c>
      <c r="C36" s="11">
        <v>10995</v>
      </c>
      <c r="D36" s="10">
        <v>2006</v>
      </c>
      <c r="E36" s="10" t="s">
        <v>92</v>
      </c>
      <c r="F36" s="10" t="s">
        <v>93</v>
      </c>
      <c r="G36" s="10" t="s">
        <v>57</v>
      </c>
      <c r="H36" s="10" t="s">
        <v>22</v>
      </c>
      <c r="I36" s="12">
        <v>66821</v>
      </c>
      <c r="J36" s="10" t="b">
        <v>0</v>
      </c>
      <c r="K36" s="10" t="s">
        <v>36</v>
      </c>
      <c r="L36" s="10" t="s">
        <v>30</v>
      </c>
      <c r="M36" s="10">
        <v>170</v>
      </c>
      <c r="N36" s="10">
        <v>2</v>
      </c>
      <c r="O36" s="10" t="s">
        <v>13</v>
      </c>
      <c r="P36" s="10">
        <v>24</v>
      </c>
      <c r="Q36" s="10" t="s">
        <v>16</v>
      </c>
      <c r="R36" s="10" t="s">
        <v>17</v>
      </c>
      <c r="S36" s="10" t="b">
        <v>0</v>
      </c>
      <c r="T36" s="10">
        <v>2</v>
      </c>
      <c r="U36" s="10" t="s">
        <v>17</v>
      </c>
      <c r="V36" s="10" t="s">
        <v>17</v>
      </c>
      <c r="W36" s="10">
        <f t="shared" si="1"/>
        <v>15</v>
      </c>
      <c r="X36" s="10" t="s">
        <v>333</v>
      </c>
    </row>
    <row r="37" spans="1:24" x14ac:dyDescent="0.3">
      <c r="A37" s="9">
        <v>44489</v>
      </c>
      <c r="B37" s="10" t="s">
        <v>140</v>
      </c>
      <c r="C37" s="11">
        <v>24300</v>
      </c>
      <c r="D37" s="10">
        <v>2018</v>
      </c>
      <c r="E37" s="10" t="s">
        <v>92</v>
      </c>
      <c r="F37" s="10" t="s">
        <v>93</v>
      </c>
      <c r="G37" s="10" t="s">
        <v>141</v>
      </c>
      <c r="H37" s="10" t="s">
        <v>22</v>
      </c>
      <c r="I37" s="12">
        <v>29211</v>
      </c>
      <c r="J37" s="10" t="b">
        <v>0</v>
      </c>
      <c r="K37" s="10" t="s">
        <v>36</v>
      </c>
      <c r="L37" s="10" t="s">
        <v>30</v>
      </c>
      <c r="M37" s="10">
        <v>155</v>
      </c>
      <c r="N37" s="10">
        <v>2</v>
      </c>
      <c r="O37" s="10" t="s">
        <v>13</v>
      </c>
      <c r="P37" s="10">
        <v>30</v>
      </c>
      <c r="Q37" s="10" t="s">
        <v>16</v>
      </c>
      <c r="R37" s="10" t="s">
        <v>17</v>
      </c>
      <c r="S37" s="10" t="b">
        <v>0</v>
      </c>
      <c r="T37" s="10">
        <v>1</v>
      </c>
      <c r="U37" s="10" t="s">
        <v>17</v>
      </c>
      <c r="V37" s="10" t="s">
        <v>17</v>
      </c>
      <c r="W37" s="10">
        <f t="shared" si="1"/>
        <v>3</v>
      </c>
      <c r="X37" s="10" t="s">
        <v>333</v>
      </c>
    </row>
    <row r="38" spans="1:24" x14ac:dyDescent="0.3">
      <c r="A38" s="9">
        <v>44489</v>
      </c>
      <c r="B38" s="10" t="s">
        <v>65</v>
      </c>
      <c r="C38" s="11">
        <v>8990</v>
      </c>
      <c r="D38" s="10">
        <v>2008</v>
      </c>
      <c r="E38" s="10" t="s">
        <v>44</v>
      </c>
      <c r="F38" s="10" t="s">
        <v>66</v>
      </c>
      <c r="G38" s="10"/>
      <c r="H38" s="10" t="s">
        <v>22</v>
      </c>
      <c r="I38" s="12">
        <v>100074</v>
      </c>
      <c r="J38" s="10" t="b">
        <v>0</v>
      </c>
      <c r="K38" s="10" t="s">
        <v>36</v>
      </c>
      <c r="L38" s="10" t="s">
        <v>30</v>
      </c>
      <c r="M38" s="10">
        <v>268</v>
      </c>
      <c r="N38" s="10">
        <v>3.5</v>
      </c>
      <c r="O38" s="10" t="s">
        <v>58</v>
      </c>
      <c r="P38" s="10">
        <v>21</v>
      </c>
      <c r="Q38" s="10" t="s">
        <v>16</v>
      </c>
      <c r="R38" s="10" t="s">
        <v>17</v>
      </c>
      <c r="S38" s="10" t="b">
        <v>1</v>
      </c>
      <c r="T38" s="10">
        <v>5</v>
      </c>
      <c r="U38" s="10" t="s">
        <v>17</v>
      </c>
      <c r="V38" s="10" t="s">
        <v>25</v>
      </c>
      <c r="W38" s="10">
        <f t="shared" si="1"/>
        <v>13</v>
      </c>
      <c r="X38" s="10" t="s">
        <v>334</v>
      </c>
    </row>
    <row r="39" spans="1:24" x14ac:dyDescent="0.3">
      <c r="A39" s="9">
        <v>44489</v>
      </c>
      <c r="B39" s="10" t="s">
        <v>78</v>
      </c>
      <c r="C39" s="11">
        <v>9900</v>
      </c>
      <c r="D39" s="10">
        <v>2006</v>
      </c>
      <c r="E39" s="10" t="s">
        <v>44</v>
      </c>
      <c r="F39" s="10" t="s">
        <v>79</v>
      </c>
      <c r="G39" s="10"/>
      <c r="H39" s="10" t="s">
        <v>22</v>
      </c>
      <c r="I39" s="12">
        <v>118371</v>
      </c>
      <c r="J39" s="10" t="b">
        <v>0</v>
      </c>
      <c r="K39" s="10" t="s">
        <v>36</v>
      </c>
      <c r="L39" s="10" t="s">
        <v>30</v>
      </c>
      <c r="M39" s="10">
        <v>302</v>
      </c>
      <c r="N39" s="10">
        <v>5</v>
      </c>
      <c r="O39" s="10" t="s">
        <v>74</v>
      </c>
      <c r="P39" s="10">
        <v>18</v>
      </c>
      <c r="Q39" s="10" t="s">
        <v>16</v>
      </c>
      <c r="R39" s="10" t="s">
        <v>17</v>
      </c>
      <c r="S39" s="10" t="b">
        <v>1</v>
      </c>
      <c r="T39" s="10">
        <v>5</v>
      </c>
      <c r="U39" s="10" t="s">
        <v>17</v>
      </c>
      <c r="V39" s="10" t="s">
        <v>17</v>
      </c>
      <c r="W39" s="10">
        <f t="shared" si="1"/>
        <v>15</v>
      </c>
      <c r="X39" s="10" t="s">
        <v>334</v>
      </c>
    </row>
    <row r="40" spans="1:24" x14ac:dyDescent="0.3">
      <c r="A40" s="9">
        <v>44489</v>
      </c>
      <c r="B40" s="10" t="s">
        <v>81</v>
      </c>
      <c r="C40" s="11">
        <v>7000</v>
      </c>
      <c r="D40" s="10">
        <v>1996</v>
      </c>
      <c r="E40" s="10" t="s">
        <v>44</v>
      </c>
      <c r="F40" s="10" t="s">
        <v>79</v>
      </c>
      <c r="G40" s="10"/>
      <c r="H40" s="10" t="s">
        <v>22</v>
      </c>
      <c r="I40" s="12">
        <v>113585</v>
      </c>
      <c r="J40" s="10" t="b">
        <v>0</v>
      </c>
      <c r="K40" s="10" t="s">
        <v>36</v>
      </c>
      <c r="L40" s="10" t="s">
        <v>30</v>
      </c>
      <c r="M40" s="10">
        <v>315</v>
      </c>
      <c r="N40" s="10">
        <v>5</v>
      </c>
      <c r="O40" s="10" t="s">
        <v>74</v>
      </c>
      <c r="P40" s="10">
        <v>18</v>
      </c>
      <c r="Q40" s="10" t="s">
        <v>16</v>
      </c>
      <c r="R40" s="10" t="s">
        <v>17</v>
      </c>
      <c r="S40" s="10" t="b">
        <v>1</v>
      </c>
      <c r="T40" s="10">
        <v>4</v>
      </c>
      <c r="U40" s="10" t="s">
        <v>17</v>
      </c>
      <c r="V40" s="10" t="s">
        <v>17</v>
      </c>
      <c r="W40" s="10">
        <f t="shared" si="1"/>
        <v>25</v>
      </c>
      <c r="X40" s="10" t="s">
        <v>334</v>
      </c>
    </row>
    <row r="41" spans="1:24" x14ac:dyDescent="0.3">
      <c r="A41" s="9">
        <v>44489</v>
      </c>
      <c r="B41" s="10" t="s">
        <v>124</v>
      </c>
      <c r="C41" s="11">
        <v>17995</v>
      </c>
      <c r="D41" s="10">
        <v>2008</v>
      </c>
      <c r="E41" s="10" t="s">
        <v>44</v>
      </c>
      <c r="F41" s="10" t="s">
        <v>126</v>
      </c>
      <c r="G41" s="10" t="s">
        <v>125</v>
      </c>
      <c r="H41" s="10" t="s">
        <v>22</v>
      </c>
      <c r="I41" s="12">
        <v>99845</v>
      </c>
      <c r="J41" s="10" t="b">
        <v>0</v>
      </c>
      <c r="K41" s="10" t="s">
        <v>36</v>
      </c>
      <c r="L41" s="10" t="s">
        <v>30</v>
      </c>
      <c r="M41" s="10">
        <v>382</v>
      </c>
      <c r="N41" s="10">
        <v>5.5</v>
      </c>
      <c r="O41" s="10" t="s">
        <v>74</v>
      </c>
      <c r="P41" s="10">
        <v>17</v>
      </c>
      <c r="Q41" s="10" t="s">
        <v>16</v>
      </c>
      <c r="R41" s="10" t="s">
        <v>17</v>
      </c>
      <c r="S41" s="10" t="b">
        <v>0</v>
      </c>
      <c r="T41" s="10">
        <v>4</v>
      </c>
      <c r="U41" s="10" t="s">
        <v>17</v>
      </c>
      <c r="V41" s="10" t="s">
        <v>25</v>
      </c>
      <c r="W41" s="10">
        <f t="shared" si="1"/>
        <v>13</v>
      </c>
      <c r="X41" s="10" t="s">
        <v>334</v>
      </c>
    </row>
    <row r="42" spans="1:24" x14ac:dyDescent="0.3">
      <c r="A42" s="9">
        <v>44489</v>
      </c>
      <c r="B42" s="10" t="s">
        <v>145</v>
      </c>
      <c r="C42" s="11">
        <v>24998</v>
      </c>
      <c r="D42" s="10">
        <v>1994</v>
      </c>
      <c r="E42" s="10" t="s">
        <v>44</v>
      </c>
      <c r="F42" s="10" t="s">
        <v>126</v>
      </c>
      <c r="G42" s="10" t="s">
        <v>146</v>
      </c>
      <c r="H42" s="10" t="s">
        <v>22</v>
      </c>
      <c r="I42" s="12">
        <v>43989</v>
      </c>
      <c r="J42" s="10" t="b">
        <v>0</v>
      </c>
      <c r="K42" s="10" t="s">
        <v>36</v>
      </c>
      <c r="L42" s="10" t="s">
        <v>30</v>
      </c>
      <c r="M42" s="10">
        <v>229</v>
      </c>
      <c r="N42" s="10">
        <v>3.2</v>
      </c>
      <c r="O42" s="10" t="s">
        <v>49</v>
      </c>
      <c r="P42" s="10">
        <v>18</v>
      </c>
      <c r="Q42" s="10" t="s">
        <v>16</v>
      </c>
      <c r="R42" s="10" t="s">
        <v>17</v>
      </c>
      <c r="S42" s="10" t="b">
        <v>0</v>
      </c>
      <c r="T42" s="10">
        <v>2</v>
      </c>
      <c r="U42" s="10" t="s">
        <v>17</v>
      </c>
      <c r="V42" s="10" t="s">
        <v>17</v>
      </c>
      <c r="W42" s="10">
        <f t="shared" si="1"/>
        <v>27</v>
      </c>
      <c r="X42" s="10" t="s">
        <v>334</v>
      </c>
    </row>
    <row r="43" spans="1:24" x14ac:dyDescent="0.3">
      <c r="A43" s="9">
        <v>44489</v>
      </c>
      <c r="B43" s="10" t="s">
        <v>153</v>
      </c>
      <c r="C43" s="11">
        <v>25995</v>
      </c>
      <c r="D43" s="10">
        <v>2014</v>
      </c>
      <c r="E43" s="10" t="s">
        <v>44</v>
      </c>
      <c r="F43" s="10" t="s">
        <v>154</v>
      </c>
      <c r="G43" s="10" t="s">
        <v>155</v>
      </c>
      <c r="H43" s="10" t="s">
        <v>22</v>
      </c>
      <c r="I43" s="12">
        <v>61796</v>
      </c>
      <c r="J43" s="10" t="b">
        <v>0</v>
      </c>
      <c r="K43" s="10" t="s">
        <v>36</v>
      </c>
      <c r="L43" s="10" t="s">
        <v>30</v>
      </c>
      <c r="M43" s="10">
        <v>302</v>
      </c>
      <c r="N43" s="10">
        <v>3.5</v>
      </c>
      <c r="O43" s="10" t="s">
        <v>58</v>
      </c>
      <c r="P43" s="10">
        <v>23</v>
      </c>
      <c r="Q43" s="10" t="s">
        <v>16</v>
      </c>
      <c r="R43" s="10" t="s">
        <v>17</v>
      </c>
      <c r="S43" s="10" t="b">
        <v>0</v>
      </c>
      <c r="T43" s="10">
        <v>2</v>
      </c>
      <c r="U43" s="10" t="s">
        <v>17</v>
      </c>
      <c r="V43" s="10" t="s">
        <v>17</v>
      </c>
      <c r="W43" s="10">
        <f t="shared" si="1"/>
        <v>7</v>
      </c>
      <c r="X43" s="10" t="s">
        <v>334</v>
      </c>
    </row>
    <row r="44" spans="1:24" x14ac:dyDescent="0.3">
      <c r="A44" s="9">
        <v>44489</v>
      </c>
      <c r="B44" s="10" t="s">
        <v>26</v>
      </c>
      <c r="C44" s="11">
        <v>8995</v>
      </c>
      <c r="D44" s="10">
        <v>2010</v>
      </c>
      <c r="E44" s="10" t="s">
        <v>27</v>
      </c>
      <c r="F44" s="10" t="s">
        <v>28</v>
      </c>
      <c r="G44" s="10" t="s">
        <v>29</v>
      </c>
      <c r="H44" s="10" t="s">
        <v>22</v>
      </c>
      <c r="I44" s="12">
        <v>72000</v>
      </c>
      <c r="J44" s="10" t="b">
        <v>0</v>
      </c>
      <c r="K44" s="10" t="s">
        <v>8</v>
      </c>
      <c r="L44" s="10" t="s">
        <v>30</v>
      </c>
      <c r="M44" s="10">
        <v>172</v>
      </c>
      <c r="N44" s="10">
        <v>1.6</v>
      </c>
      <c r="O44" s="10" t="s">
        <v>13</v>
      </c>
      <c r="P44" s="10">
        <v>28</v>
      </c>
      <c r="Q44" s="10" t="s">
        <v>16</v>
      </c>
      <c r="R44" s="10" t="s">
        <v>17</v>
      </c>
      <c r="S44" s="10" t="b">
        <v>0</v>
      </c>
      <c r="T44" s="10">
        <v>3</v>
      </c>
      <c r="U44" s="10" t="s">
        <v>17</v>
      </c>
      <c r="V44" s="10" t="s">
        <v>25</v>
      </c>
      <c r="W44" s="10">
        <f t="shared" si="1"/>
        <v>11</v>
      </c>
      <c r="X44" s="10" t="s">
        <v>337</v>
      </c>
    </row>
    <row r="45" spans="1:24" x14ac:dyDescent="0.3">
      <c r="A45" s="9">
        <v>44489</v>
      </c>
      <c r="B45" s="10" t="s">
        <v>55</v>
      </c>
      <c r="C45" s="11">
        <v>8995</v>
      </c>
      <c r="D45" s="10">
        <v>2008</v>
      </c>
      <c r="E45" s="10" t="s">
        <v>5</v>
      </c>
      <c r="F45" s="10" t="s">
        <v>56</v>
      </c>
      <c r="G45" s="10" t="s">
        <v>57</v>
      </c>
      <c r="H45" s="10" t="s">
        <v>22</v>
      </c>
      <c r="I45" s="12">
        <v>98984</v>
      </c>
      <c r="J45" s="10" t="b">
        <v>0</v>
      </c>
      <c r="K45" s="10" t="s">
        <v>36</v>
      </c>
      <c r="L45" s="10" t="s">
        <v>30</v>
      </c>
      <c r="M45" s="10">
        <v>306</v>
      </c>
      <c r="N45" s="10">
        <v>3.5</v>
      </c>
      <c r="O45" s="10" t="s">
        <v>58</v>
      </c>
      <c r="P45" s="10">
        <v>20</v>
      </c>
      <c r="Q45" s="10" t="s">
        <v>16</v>
      </c>
      <c r="R45" s="10" t="s">
        <v>17</v>
      </c>
      <c r="S45" s="10" t="b">
        <v>1</v>
      </c>
      <c r="T45" s="10">
        <v>3</v>
      </c>
      <c r="U45" s="10" t="s">
        <v>25</v>
      </c>
      <c r="V45" s="10" t="s">
        <v>17</v>
      </c>
      <c r="W45" s="10">
        <f t="shared" si="1"/>
        <v>13</v>
      </c>
      <c r="X45" s="10" t="s">
        <v>333</v>
      </c>
    </row>
    <row r="46" spans="1:24" x14ac:dyDescent="0.3">
      <c r="A46" s="9">
        <v>44489</v>
      </c>
      <c r="B46" s="10" t="s">
        <v>109</v>
      </c>
      <c r="C46" s="11">
        <v>15395</v>
      </c>
      <c r="D46" s="10">
        <v>2012</v>
      </c>
      <c r="E46" s="10" t="s">
        <v>5</v>
      </c>
      <c r="F46" s="10" t="s">
        <v>110</v>
      </c>
      <c r="G46" s="10"/>
      <c r="H46" s="10" t="s">
        <v>22</v>
      </c>
      <c r="I46" s="12">
        <v>101100</v>
      </c>
      <c r="J46" s="10" t="b">
        <v>0</v>
      </c>
      <c r="K46" s="10" t="s">
        <v>36</v>
      </c>
      <c r="L46" s="10" t="s">
        <v>30</v>
      </c>
      <c r="M46" s="10">
        <v>332</v>
      </c>
      <c r="N46" s="10">
        <v>3.7</v>
      </c>
      <c r="O46" s="10" t="s">
        <v>58</v>
      </c>
      <c r="P46" s="10">
        <v>21</v>
      </c>
      <c r="Q46" s="10" t="s">
        <v>16</v>
      </c>
      <c r="R46" s="10" t="s">
        <v>17</v>
      </c>
      <c r="S46" s="10" t="b">
        <v>0</v>
      </c>
      <c r="T46" s="10">
        <v>3</v>
      </c>
      <c r="U46" s="10" t="s">
        <v>17</v>
      </c>
      <c r="V46" s="10" t="s">
        <v>17</v>
      </c>
      <c r="W46" s="10">
        <f t="shared" si="1"/>
        <v>9</v>
      </c>
      <c r="X46" s="10" t="s">
        <v>333</v>
      </c>
    </row>
    <row r="47" spans="1:24" x14ac:dyDescent="0.3">
      <c r="A47" s="9">
        <v>44489</v>
      </c>
      <c r="B47" s="10" t="s">
        <v>163</v>
      </c>
      <c r="C47" s="11">
        <v>29900</v>
      </c>
      <c r="D47" s="10">
        <v>2002</v>
      </c>
      <c r="E47" s="10" t="s">
        <v>164</v>
      </c>
      <c r="F47" s="10" t="s">
        <v>165</v>
      </c>
      <c r="G47" s="10"/>
      <c r="H47" s="10" t="s">
        <v>22</v>
      </c>
      <c r="I47" s="12">
        <v>31384</v>
      </c>
      <c r="J47" s="10" t="b">
        <v>1</v>
      </c>
      <c r="K47" s="10" t="s">
        <v>36</v>
      </c>
      <c r="L47" s="10" t="s">
        <v>30</v>
      </c>
      <c r="M47" s="10">
        <v>325</v>
      </c>
      <c r="N47" s="10">
        <v>5.7</v>
      </c>
      <c r="O47" s="10" t="s">
        <v>74</v>
      </c>
      <c r="P47" s="10">
        <v>21</v>
      </c>
      <c r="Q47" s="10" t="s">
        <v>16</v>
      </c>
      <c r="R47" s="10" t="s">
        <v>17</v>
      </c>
      <c r="S47" s="10" t="b">
        <v>0</v>
      </c>
      <c r="T47" s="10">
        <v>5</v>
      </c>
      <c r="U47" s="10" t="s">
        <v>17</v>
      </c>
      <c r="V47" s="10" t="s">
        <v>17</v>
      </c>
      <c r="W47" s="10">
        <f t="shared" si="1"/>
        <v>19</v>
      </c>
      <c r="X47" s="10" t="s">
        <v>335</v>
      </c>
    </row>
    <row r="48" spans="1:24" x14ac:dyDescent="0.3">
      <c r="A48" s="9">
        <v>44489</v>
      </c>
      <c r="B48" s="10" t="s">
        <v>86</v>
      </c>
      <c r="C48" s="11">
        <v>19999</v>
      </c>
      <c r="D48" s="10">
        <v>2001</v>
      </c>
      <c r="E48" s="10" t="s">
        <v>82</v>
      </c>
      <c r="F48" s="10" t="s">
        <v>83</v>
      </c>
      <c r="G48" s="10" t="s">
        <v>29</v>
      </c>
      <c r="H48" s="10" t="s">
        <v>22</v>
      </c>
      <c r="I48" s="12">
        <v>59353</v>
      </c>
      <c r="J48" s="10" t="b">
        <v>1</v>
      </c>
      <c r="K48" s="10" t="s">
        <v>36</v>
      </c>
      <c r="L48" s="10" t="s">
        <v>30</v>
      </c>
      <c r="M48" s="10">
        <v>250</v>
      </c>
      <c r="N48" s="10">
        <v>3.2</v>
      </c>
      <c r="O48" s="10" t="s">
        <v>84</v>
      </c>
      <c r="P48" s="10">
        <v>19</v>
      </c>
      <c r="Q48" s="10" t="s">
        <v>16</v>
      </c>
      <c r="R48" s="10" t="s">
        <v>17</v>
      </c>
      <c r="S48" s="10" t="b">
        <v>0</v>
      </c>
      <c r="T48" s="10">
        <v>4</v>
      </c>
      <c r="U48" s="10" t="s">
        <v>17</v>
      </c>
      <c r="V48" s="10" t="s">
        <v>17</v>
      </c>
      <c r="W48" s="10">
        <f t="shared" si="1"/>
        <v>20</v>
      </c>
      <c r="X48" s="10" t="s">
        <v>334</v>
      </c>
    </row>
    <row r="49" spans="1:24" x14ac:dyDescent="0.3">
      <c r="A49" s="9">
        <v>44489</v>
      </c>
      <c r="B49" s="10" t="s">
        <v>131</v>
      </c>
      <c r="C49" s="11">
        <v>23995</v>
      </c>
      <c r="D49" s="10">
        <v>2001</v>
      </c>
      <c r="E49" s="10" t="s">
        <v>82</v>
      </c>
      <c r="F49" s="10">
        <v>911</v>
      </c>
      <c r="G49" s="10" t="s">
        <v>132</v>
      </c>
      <c r="H49" s="10" t="s">
        <v>22</v>
      </c>
      <c r="I49" s="12">
        <v>80333</v>
      </c>
      <c r="J49" s="10" t="b">
        <v>1</v>
      </c>
      <c r="K49" s="10" t="s">
        <v>36</v>
      </c>
      <c r="L49" s="10" t="s">
        <v>30</v>
      </c>
      <c r="M49" s="10">
        <v>300</v>
      </c>
      <c r="N49" s="10">
        <v>3.4</v>
      </c>
      <c r="O49" s="10" t="s">
        <v>84</v>
      </c>
      <c r="P49" s="10">
        <v>19</v>
      </c>
      <c r="Q49" s="10" t="s">
        <v>16</v>
      </c>
      <c r="R49" s="10" t="s">
        <v>17</v>
      </c>
      <c r="S49" s="10" t="b">
        <v>0</v>
      </c>
      <c r="T49" s="10">
        <v>6</v>
      </c>
      <c r="U49" s="10" t="s">
        <v>17</v>
      </c>
      <c r="V49" s="10" t="s">
        <v>17</v>
      </c>
      <c r="W49" s="10">
        <f t="shared" si="1"/>
        <v>20</v>
      </c>
      <c r="X49" s="10" t="s">
        <v>334</v>
      </c>
    </row>
    <row r="50" spans="1:24" x14ac:dyDescent="0.3">
      <c r="A50" s="9">
        <v>44489</v>
      </c>
      <c r="B50" s="10" t="s">
        <v>133</v>
      </c>
      <c r="C50" s="11">
        <v>27801</v>
      </c>
      <c r="D50" s="10">
        <v>2008</v>
      </c>
      <c r="E50" s="10" t="s">
        <v>82</v>
      </c>
      <c r="F50" s="10" t="s">
        <v>83</v>
      </c>
      <c r="G50" s="10" t="s">
        <v>29</v>
      </c>
      <c r="H50" s="10" t="s">
        <v>22</v>
      </c>
      <c r="I50" s="12">
        <v>30332</v>
      </c>
      <c r="J50" s="10" t="b">
        <v>1</v>
      </c>
      <c r="K50" s="10" t="s">
        <v>36</v>
      </c>
      <c r="L50" s="10" t="s">
        <v>30</v>
      </c>
      <c r="M50" s="10">
        <v>295</v>
      </c>
      <c r="N50" s="10">
        <v>3.4</v>
      </c>
      <c r="O50" s="10" t="s">
        <v>84</v>
      </c>
      <c r="P50" s="10">
        <v>22</v>
      </c>
      <c r="Q50" s="10" t="s">
        <v>16</v>
      </c>
      <c r="R50" s="10" t="s">
        <v>17</v>
      </c>
      <c r="S50" s="10" t="b">
        <v>0</v>
      </c>
      <c r="T50" s="10">
        <v>3</v>
      </c>
      <c r="U50" s="10" t="s">
        <v>17</v>
      </c>
      <c r="V50" s="10" t="s">
        <v>17</v>
      </c>
      <c r="W50" s="10">
        <f t="shared" si="1"/>
        <v>13</v>
      </c>
      <c r="X50" s="10" t="s">
        <v>334</v>
      </c>
    </row>
    <row r="51" spans="1:24" x14ac:dyDescent="0.3">
      <c r="A51" s="9">
        <v>44489</v>
      </c>
      <c r="B51" s="10" t="s">
        <v>134</v>
      </c>
      <c r="C51" s="11">
        <v>23200</v>
      </c>
      <c r="D51" s="10">
        <v>2002</v>
      </c>
      <c r="E51" s="10" t="s">
        <v>82</v>
      </c>
      <c r="F51" s="10">
        <v>911</v>
      </c>
      <c r="G51" s="10" t="s">
        <v>135</v>
      </c>
      <c r="H51" s="10" t="s">
        <v>22</v>
      </c>
      <c r="I51" s="12">
        <v>103577</v>
      </c>
      <c r="J51" s="10" t="b">
        <v>1</v>
      </c>
      <c r="K51" s="10" t="s">
        <v>136</v>
      </c>
      <c r="L51" s="10" t="s">
        <v>30</v>
      </c>
      <c r="M51" s="10">
        <v>320</v>
      </c>
      <c r="N51" s="10">
        <v>3.6</v>
      </c>
      <c r="O51" s="10" t="s">
        <v>84</v>
      </c>
      <c r="P51" s="10">
        <v>18</v>
      </c>
      <c r="Q51" s="10" t="s">
        <v>16</v>
      </c>
      <c r="R51" s="10" t="s">
        <v>17</v>
      </c>
      <c r="S51" s="10" t="b">
        <v>0</v>
      </c>
      <c r="T51" s="10">
        <v>6</v>
      </c>
      <c r="U51" s="10" t="s">
        <v>17</v>
      </c>
      <c r="V51" s="10" t="s">
        <v>25</v>
      </c>
      <c r="W51" s="10">
        <f t="shared" si="1"/>
        <v>19</v>
      </c>
      <c r="X51" s="10" t="s">
        <v>334</v>
      </c>
    </row>
    <row r="52" spans="1:24" x14ac:dyDescent="0.3">
      <c r="A52" s="9">
        <v>44489</v>
      </c>
      <c r="B52" s="10" t="s">
        <v>85</v>
      </c>
      <c r="C52" s="11">
        <v>16191</v>
      </c>
      <c r="D52" s="10">
        <v>2002</v>
      </c>
      <c r="E52" s="10" t="s">
        <v>82</v>
      </c>
      <c r="F52" s="10" t="s">
        <v>83</v>
      </c>
      <c r="G52" s="10"/>
      <c r="H52" s="10" t="s">
        <v>22</v>
      </c>
      <c r="I52" s="12">
        <v>40900</v>
      </c>
      <c r="J52" s="10" t="b">
        <v>0</v>
      </c>
      <c r="K52" s="10" t="s">
        <v>36</v>
      </c>
      <c r="L52" s="10" t="s">
        <v>30</v>
      </c>
      <c r="M52" s="10">
        <v>217</v>
      </c>
      <c r="N52" s="10">
        <v>2.7</v>
      </c>
      <c r="O52" s="10" t="s">
        <v>84</v>
      </c>
      <c r="P52" s="10">
        <v>19</v>
      </c>
      <c r="Q52" s="10" t="s">
        <v>16</v>
      </c>
      <c r="R52" s="10" t="s">
        <v>17</v>
      </c>
      <c r="S52" s="10" t="b">
        <v>0</v>
      </c>
      <c r="T52" s="10">
        <v>4</v>
      </c>
      <c r="U52" s="10" t="s">
        <v>17</v>
      </c>
      <c r="V52" s="10" t="s">
        <v>17</v>
      </c>
      <c r="W52" s="10">
        <f t="shared" si="1"/>
        <v>19</v>
      </c>
      <c r="X52" s="10" t="s">
        <v>334</v>
      </c>
    </row>
    <row r="53" spans="1:24" x14ac:dyDescent="0.3">
      <c r="A53" s="9">
        <v>44489</v>
      </c>
      <c r="B53" s="10" t="s">
        <v>87</v>
      </c>
      <c r="C53" s="11">
        <v>15995</v>
      </c>
      <c r="D53" s="10">
        <v>2002</v>
      </c>
      <c r="E53" s="10" t="s">
        <v>82</v>
      </c>
      <c r="F53" s="10" t="s">
        <v>83</v>
      </c>
      <c r="G53" s="10" t="s">
        <v>29</v>
      </c>
      <c r="H53" s="10" t="s">
        <v>22</v>
      </c>
      <c r="I53" s="12">
        <v>109429</v>
      </c>
      <c r="J53" s="10" t="b">
        <v>0</v>
      </c>
      <c r="K53" s="10" t="s">
        <v>36</v>
      </c>
      <c r="L53" s="10" t="s">
        <v>30</v>
      </c>
      <c r="M53" s="10">
        <v>250</v>
      </c>
      <c r="N53" s="10">
        <v>3.2</v>
      </c>
      <c r="O53" s="10" t="s">
        <v>84</v>
      </c>
      <c r="P53" s="10">
        <v>19</v>
      </c>
      <c r="Q53" s="10" t="s">
        <v>16</v>
      </c>
      <c r="R53" s="10" t="s">
        <v>17</v>
      </c>
      <c r="S53" s="10" t="b">
        <v>0</v>
      </c>
      <c r="T53" s="10">
        <v>7</v>
      </c>
      <c r="U53" s="10" t="s">
        <v>17</v>
      </c>
      <c r="V53" s="10" t="s">
        <v>17</v>
      </c>
      <c r="W53" s="10">
        <f t="shared" si="1"/>
        <v>19</v>
      </c>
      <c r="X53" s="10" t="s">
        <v>334</v>
      </c>
    </row>
    <row r="54" spans="1:24" x14ac:dyDescent="0.3">
      <c r="A54" s="9">
        <v>44489</v>
      </c>
      <c r="B54" s="10" t="s">
        <v>32</v>
      </c>
      <c r="C54" s="11">
        <v>5800</v>
      </c>
      <c r="D54" s="10">
        <v>2009</v>
      </c>
      <c r="E54" s="10" t="s">
        <v>33</v>
      </c>
      <c r="F54" s="10" t="s">
        <v>34</v>
      </c>
      <c r="G54" s="10" t="s">
        <v>35</v>
      </c>
      <c r="H54" s="10" t="s">
        <v>22</v>
      </c>
      <c r="I54" s="12">
        <v>140477</v>
      </c>
      <c r="J54" s="10" t="b">
        <v>0</v>
      </c>
      <c r="K54" s="10" t="s">
        <v>36</v>
      </c>
      <c r="L54" s="10" t="s">
        <v>30</v>
      </c>
      <c r="M54" s="10">
        <v>260</v>
      </c>
      <c r="N54" s="10">
        <v>2</v>
      </c>
      <c r="O54" s="10" t="s">
        <v>13</v>
      </c>
      <c r="P54" s="10">
        <v>23</v>
      </c>
      <c r="Q54" s="10" t="s">
        <v>16</v>
      </c>
      <c r="R54" s="10" t="s">
        <v>17</v>
      </c>
      <c r="S54" s="10" t="b">
        <v>0</v>
      </c>
      <c r="T54" s="10">
        <v>2</v>
      </c>
      <c r="U54" s="10" t="s">
        <v>17</v>
      </c>
      <c r="V54" s="10" t="s">
        <v>17</v>
      </c>
      <c r="W54" s="10">
        <f t="shared" si="1"/>
        <v>12</v>
      </c>
      <c r="X54" s="10" t="s">
        <v>335</v>
      </c>
    </row>
    <row r="55" spans="1:24" x14ac:dyDescent="0.3">
      <c r="A55" s="9">
        <v>44489</v>
      </c>
      <c r="B55" s="10" t="s">
        <v>67</v>
      </c>
      <c r="C55" s="11">
        <v>5900</v>
      </c>
      <c r="D55" s="10">
        <v>2006</v>
      </c>
      <c r="E55" s="10" t="s">
        <v>68</v>
      </c>
      <c r="F55" s="10" t="s">
        <v>69</v>
      </c>
      <c r="G55" s="10" t="s">
        <v>70</v>
      </c>
      <c r="H55" s="10" t="s">
        <v>22</v>
      </c>
      <c r="I55" s="12">
        <v>142123</v>
      </c>
      <c r="J55" s="10" t="b">
        <v>0</v>
      </c>
      <c r="K55" s="10" t="s">
        <v>8</v>
      </c>
      <c r="L55" s="10" t="s">
        <v>30</v>
      </c>
      <c r="M55" s="10">
        <v>225</v>
      </c>
      <c r="N55" s="10">
        <v>3.3</v>
      </c>
      <c r="O55" s="10" t="s">
        <v>58</v>
      </c>
      <c r="P55" s="10">
        <v>22</v>
      </c>
      <c r="Q55" s="10" t="s">
        <v>16</v>
      </c>
      <c r="R55" s="10" t="s">
        <v>17</v>
      </c>
      <c r="S55" s="10" t="b">
        <v>0</v>
      </c>
      <c r="T55" s="10">
        <v>2</v>
      </c>
      <c r="U55" s="10" t="s">
        <v>17</v>
      </c>
      <c r="V55" s="10" t="s">
        <v>17</v>
      </c>
      <c r="W55" s="10">
        <f t="shared" si="1"/>
        <v>15</v>
      </c>
      <c r="X55" s="10" t="s">
        <v>333</v>
      </c>
    </row>
  </sheetData>
  <sortState xmlns:xlrd2="http://schemas.microsoft.com/office/spreadsheetml/2017/richdata2" ref="A2:X70">
    <sortCondition ref="E1:E70"/>
  </sortState>
  <conditionalFormatting sqref="T2:V55 A2:F55 I2:R55">
    <cfRule type="containsBlanks" dxfId="2" priority="2">
      <formula>LEN(TRIM(A2))=0</formula>
    </cfRule>
  </conditionalFormatting>
  <conditionalFormatting sqref="H2:H55">
    <cfRule type="containsBlanks" dxfId="0" priority="1">
      <formula>LEN(TRIM(H2))=0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93B3-C8AF-4D43-A005-C2C5ABE9A805}">
  <dimension ref="A1:X57"/>
  <sheetViews>
    <sheetView workbookViewId="0">
      <pane xSplit="8" ySplit="1" topLeftCell="I23" activePane="bottomRight" state="frozen"/>
      <selection pane="topRight" activeCell="H1" sqref="H1"/>
      <selection pane="bottomLeft" activeCell="A2" sqref="A2"/>
      <selection pane="bottomRight" activeCell="F25" sqref="A1:X44"/>
    </sheetView>
  </sheetViews>
  <sheetFormatPr defaultRowHeight="14.4" x14ac:dyDescent="0.3"/>
  <cols>
    <col min="1" max="1" width="10.5546875" bestFit="1" customWidth="1"/>
    <col min="3" max="3" width="8.5546875" style="3" bestFit="1" customWidth="1"/>
    <col min="12" max="12" width="4.44140625" bestFit="1" customWidth="1"/>
    <col min="13" max="13" width="4" bestFit="1" customWidth="1"/>
    <col min="15" max="15" width="6.6640625" bestFit="1" customWidth="1"/>
    <col min="17" max="17" width="5.33203125" bestFit="1" customWidth="1"/>
  </cols>
  <sheetData>
    <row r="1" spans="1:24" s="1" customFormat="1" x14ac:dyDescent="0.3">
      <c r="A1" s="18" t="s">
        <v>166</v>
      </c>
      <c r="B1" s="18" t="s">
        <v>0</v>
      </c>
      <c r="C1" s="19" t="s">
        <v>331</v>
      </c>
      <c r="D1" s="18" t="s">
        <v>2</v>
      </c>
      <c r="E1" s="18" t="s">
        <v>1</v>
      </c>
      <c r="F1" s="18" t="s">
        <v>3</v>
      </c>
      <c r="G1" s="18" t="s">
        <v>4</v>
      </c>
      <c r="H1" s="18" t="s">
        <v>18</v>
      </c>
      <c r="I1" s="20" t="s">
        <v>6</v>
      </c>
      <c r="J1" s="18" t="s">
        <v>330</v>
      </c>
      <c r="K1" s="18" t="s">
        <v>7</v>
      </c>
      <c r="L1" s="18" t="s">
        <v>9</v>
      </c>
      <c r="M1" s="18" t="s">
        <v>10</v>
      </c>
      <c r="N1" s="18" t="s">
        <v>11</v>
      </c>
      <c r="O1" s="18" t="s">
        <v>12</v>
      </c>
      <c r="P1" s="18" t="s">
        <v>14</v>
      </c>
      <c r="Q1" s="18" t="s">
        <v>15</v>
      </c>
      <c r="R1" s="18" t="s">
        <v>80</v>
      </c>
      <c r="S1" s="18" t="s">
        <v>328</v>
      </c>
      <c r="T1" s="18" t="s">
        <v>23</v>
      </c>
      <c r="U1" s="18" t="s">
        <v>24</v>
      </c>
      <c r="V1" s="18" t="s">
        <v>31</v>
      </c>
      <c r="W1" s="18" t="s">
        <v>329</v>
      </c>
      <c r="X1" s="18" t="s">
        <v>332</v>
      </c>
    </row>
    <row r="2" spans="1:24" x14ac:dyDescent="0.3">
      <c r="A2" s="9">
        <v>44489</v>
      </c>
      <c r="B2" s="10" t="s">
        <v>221</v>
      </c>
      <c r="C2" s="11">
        <v>13491</v>
      </c>
      <c r="D2" s="10">
        <v>2011</v>
      </c>
      <c r="E2" s="10" t="s">
        <v>38</v>
      </c>
      <c r="F2" s="10" t="s">
        <v>97</v>
      </c>
      <c r="G2" s="10" t="s">
        <v>216</v>
      </c>
      <c r="H2" s="10" t="s">
        <v>171</v>
      </c>
      <c r="I2" s="12">
        <v>94285</v>
      </c>
      <c r="J2" s="10" t="b">
        <v>0</v>
      </c>
      <c r="K2" s="10" t="s">
        <v>136</v>
      </c>
      <c r="L2" s="10" t="s">
        <v>30</v>
      </c>
      <c r="M2" s="10">
        <v>211</v>
      </c>
      <c r="N2" s="10">
        <v>2</v>
      </c>
      <c r="O2" s="10" t="s">
        <v>13</v>
      </c>
      <c r="P2" s="10">
        <v>25</v>
      </c>
      <c r="Q2" s="10" t="s">
        <v>16</v>
      </c>
      <c r="R2" s="10" t="s">
        <v>17</v>
      </c>
      <c r="S2" s="10" t="b">
        <v>0</v>
      </c>
      <c r="T2" s="10">
        <v>5</v>
      </c>
      <c r="U2" s="10" t="s">
        <v>17</v>
      </c>
      <c r="V2" s="10" t="s">
        <v>17</v>
      </c>
      <c r="W2" s="10">
        <f t="shared" ref="W2:W44" si="0">2021-D2</f>
        <v>10</v>
      </c>
      <c r="X2" s="10" t="s">
        <v>334</v>
      </c>
    </row>
    <row r="3" spans="1:24" x14ac:dyDescent="0.3">
      <c r="A3" s="9">
        <v>44489</v>
      </c>
      <c r="B3" s="10" t="s">
        <v>238</v>
      </c>
      <c r="C3" s="11">
        <v>17991</v>
      </c>
      <c r="D3" s="10">
        <v>2012</v>
      </c>
      <c r="E3" s="10" t="s">
        <v>38</v>
      </c>
      <c r="F3" s="10" t="s">
        <v>239</v>
      </c>
      <c r="G3" s="10" t="s">
        <v>240</v>
      </c>
      <c r="H3" s="10" t="s">
        <v>171</v>
      </c>
      <c r="I3" s="12">
        <v>113248</v>
      </c>
      <c r="J3" s="10" t="b">
        <v>0</v>
      </c>
      <c r="K3" s="10" t="s">
        <v>136</v>
      </c>
      <c r="L3" s="10" t="s">
        <v>30</v>
      </c>
      <c r="M3" s="10">
        <v>354</v>
      </c>
      <c r="N3" s="10">
        <v>4.2</v>
      </c>
      <c r="O3" s="10" t="s">
        <v>74</v>
      </c>
      <c r="P3" s="10">
        <v>20</v>
      </c>
      <c r="Q3" s="10" t="s">
        <v>16</v>
      </c>
      <c r="R3" s="10" t="s">
        <v>17</v>
      </c>
      <c r="S3" s="10" t="b">
        <v>0</v>
      </c>
      <c r="T3" s="10">
        <v>3</v>
      </c>
      <c r="U3" s="10" t="s">
        <v>17</v>
      </c>
      <c r="V3" s="10" t="s">
        <v>17</v>
      </c>
      <c r="W3" s="10">
        <f t="shared" si="0"/>
        <v>9</v>
      </c>
      <c r="X3" s="10" t="s">
        <v>334</v>
      </c>
    </row>
    <row r="4" spans="1:24" x14ac:dyDescent="0.3">
      <c r="A4" s="9">
        <v>44489</v>
      </c>
      <c r="B4" s="10" t="s">
        <v>184</v>
      </c>
      <c r="C4" s="11">
        <v>9995</v>
      </c>
      <c r="D4" s="10">
        <v>2006</v>
      </c>
      <c r="E4" s="10" t="s">
        <v>42</v>
      </c>
      <c r="F4" s="10" t="s">
        <v>122</v>
      </c>
      <c r="G4" s="10" t="s">
        <v>123</v>
      </c>
      <c r="H4" s="10" t="s">
        <v>171</v>
      </c>
      <c r="I4" s="12">
        <v>96154</v>
      </c>
      <c r="J4" s="10" t="b">
        <v>0</v>
      </c>
      <c r="K4" s="10" t="s">
        <v>36</v>
      </c>
      <c r="L4" s="10" t="s">
        <v>30</v>
      </c>
      <c r="M4" s="10">
        <v>360</v>
      </c>
      <c r="N4" s="10">
        <v>4.8</v>
      </c>
      <c r="O4" s="10" t="s">
        <v>74</v>
      </c>
      <c r="P4" s="10">
        <v>19</v>
      </c>
      <c r="Q4" s="10" t="s">
        <v>16</v>
      </c>
      <c r="R4" s="10" t="s">
        <v>17</v>
      </c>
      <c r="S4" s="10" t="b">
        <v>1</v>
      </c>
      <c r="T4" s="10">
        <v>5</v>
      </c>
      <c r="U4" s="10" t="s">
        <v>17</v>
      </c>
      <c r="V4" s="10" t="s">
        <v>17</v>
      </c>
      <c r="W4" s="10">
        <f t="shared" si="0"/>
        <v>15</v>
      </c>
      <c r="X4" s="10" t="s">
        <v>334</v>
      </c>
    </row>
    <row r="5" spans="1:24" x14ac:dyDescent="0.3">
      <c r="A5" s="9">
        <v>44489</v>
      </c>
      <c r="B5" s="10" t="s">
        <v>187</v>
      </c>
      <c r="C5" s="11">
        <v>7995</v>
      </c>
      <c r="D5" s="10">
        <v>2012</v>
      </c>
      <c r="E5" s="10" t="s">
        <v>42</v>
      </c>
      <c r="F5" s="10" t="s">
        <v>148</v>
      </c>
      <c r="G5" s="10" t="s">
        <v>188</v>
      </c>
      <c r="H5" s="10" t="s">
        <v>171</v>
      </c>
      <c r="I5" s="12">
        <v>126621</v>
      </c>
      <c r="J5" s="10" t="b">
        <v>0</v>
      </c>
      <c r="K5" s="10" t="s">
        <v>36</v>
      </c>
      <c r="L5" s="10" t="s">
        <v>30</v>
      </c>
      <c r="M5" s="10">
        <v>230</v>
      </c>
      <c r="N5" s="10">
        <v>3</v>
      </c>
      <c r="O5" s="10" t="s">
        <v>49</v>
      </c>
      <c r="P5" s="10">
        <v>23</v>
      </c>
      <c r="Q5" s="10" t="s">
        <v>16</v>
      </c>
      <c r="R5" s="10" t="s">
        <v>17</v>
      </c>
      <c r="S5" s="10" t="b">
        <v>1</v>
      </c>
      <c r="T5" s="10">
        <v>2</v>
      </c>
      <c r="U5" s="10" t="s">
        <v>17</v>
      </c>
      <c r="V5" s="10" t="s">
        <v>17</v>
      </c>
      <c r="W5" s="10">
        <f t="shared" si="0"/>
        <v>9</v>
      </c>
      <c r="X5" s="10" t="s">
        <v>334</v>
      </c>
    </row>
    <row r="6" spans="1:24" x14ac:dyDescent="0.3">
      <c r="A6" s="9">
        <v>44489</v>
      </c>
      <c r="B6" s="10" t="s">
        <v>189</v>
      </c>
      <c r="C6" s="11">
        <v>9299</v>
      </c>
      <c r="D6" s="10">
        <v>2005</v>
      </c>
      <c r="E6" s="10" t="s">
        <v>42</v>
      </c>
      <c r="F6" s="10" t="s">
        <v>51</v>
      </c>
      <c r="G6" s="10" t="s">
        <v>190</v>
      </c>
      <c r="H6" s="10" t="s">
        <v>171</v>
      </c>
      <c r="I6" s="12">
        <v>70975</v>
      </c>
      <c r="J6" s="10" t="b">
        <v>0</v>
      </c>
      <c r="K6" s="10" t="s">
        <v>36</v>
      </c>
      <c r="L6" s="10" t="s">
        <v>30</v>
      </c>
      <c r="M6" s="10">
        <v>184</v>
      </c>
      <c r="N6" s="10">
        <v>2.5</v>
      </c>
      <c r="O6" s="10" t="s">
        <v>49</v>
      </c>
      <c r="P6" s="10">
        <v>21</v>
      </c>
      <c r="Q6" s="10" t="s">
        <v>16</v>
      </c>
      <c r="R6" s="10" t="s">
        <v>17</v>
      </c>
      <c r="S6" s="10" t="b">
        <v>0</v>
      </c>
      <c r="T6" s="10">
        <v>2</v>
      </c>
      <c r="U6" s="10" t="s">
        <v>17</v>
      </c>
      <c r="V6" s="10" t="s">
        <v>17</v>
      </c>
      <c r="W6" s="10">
        <f t="shared" si="0"/>
        <v>16</v>
      </c>
      <c r="X6" s="10" t="s">
        <v>334</v>
      </c>
    </row>
    <row r="7" spans="1:24" x14ac:dyDescent="0.3">
      <c r="A7" s="9">
        <v>44489</v>
      </c>
      <c r="B7" s="10" t="s">
        <v>219</v>
      </c>
      <c r="C7" s="11">
        <v>19997</v>
      </c>
      <c r="D7" s="10">
        <v>2015</v>
      </c>
      <c r="E7" s="10" t="s">
        <v>42</v>
      </c>
      <c r="F7" s="10" t="s">
        <v>138</v>
      </c>
      <c r="G7" s="10" t="s">
        <v>220</v>
      </c>
      <c r="H7" s="10" t="s">
        <v>171</v>
      </c>
      <c r="I7" s="12">
        <v>90300</v>
      </c>
      <c r="J7" s="10" t="b">
        <v>0</v>
      </c>
      <c r="K7" s="10" t="s">
        <v>136</v>
      </c>
      <c r="L7" s="10" t="s">
        <v>30</v>
      </c>
      <c r="M7" s="10">
        <v>240</v>
      </c>
      <c r="N7" s="10">
        <v>2</v>
      </c>
      <c r="O7" s="10" t="s">
        <v>13</v>
      </c>
      <c r="P7" s="10">
        <v>27</v>
      </c>
      <c r="Q7" s="10" t="s">
        <v>16</v>
      </c>
      <c r="R7" s="10" t="s">
        <v>17</v>
      </c>
      <c r="S7" s="10" t="b">
        <v>0</v>
      </c>
      <c r="T7" s="10">
        <v>1</v>
      </c>
      <c r="U7" s="10" t="s">
        <v>17</v>
      </c>
      <c r="V7" s="10" t="s">
        <v>17</v>
      </c>
      <c r="W7" s="10">
        <f t="shared" si="0"/>
        <v>6</v>
      </c>
      <c r="X7" s="10" t="s">
        <v>334</v>
      </c>
    </row>
    <row r="8" spans="1:24" x14ac:dyDescent="0.3">
      <c r="A8" s="9">
        <v>44489</v>
      </c>
      <c r="B8" s="10" t="s">
        <v>231</v>
      </c>
      <c r="C8" s="11">
        <v>16995</v>
      </c>
      <c r="D8" s="10">
        <v>2014</v>
      </c>
      <c r="E8" s="10" t="s">
        <v>42</v>
      </c>
      <c r="F8" s="10" t="s">
        <v>138</v>
      </c>
      <c r="G8" s="10" t="s">
        <v>152</v>
      </c>
      <c r="H8" s="10" t="s">
        <v>171</v>
      </c>
      <c r="I8" s="12">
        <v>129734</v>
      </c>
      <c r="J8" s="10" t="b">
        <v>0</v>
      </c>
      <c r="K8" s="10" t="s">
        <v>36</v>
      </c>
      <c r="L8" s="10" t="s">
        <v>30</v>
      </c>
      <c r="M8" s="10">
        <v>300</v>
      </c>
      <c r="N8" s="10">
        <v>3</v>
      </c>
      <c r="O8" s="10" t="s">
        <v>49</v>
      </c>
      <c r="P8" s="10">
        <v>27</v>
      </c>
      <c r="Q8" s="10" t="s">
        <v>16</v>
      </c>
      <c r="R8" s="10" t="s">
        <v>17</v>
      </c>
      <c r="S8" s="10" t="b">
        <v>0</v>
      </c>
      <c r="T8" s="10">
        <v>3</v>
      </c>
      <c r="U8" s="10" t="s">
        <v>17</v>
      </c>
      <c r="V8" s="10" t="s">
        <v>17</v>
      </c>
      <c r="W8" s="10">
        <f t="shared" si="0"/>
        <v>7</v>
      </c>
      <c r="X8" s="10" t="s">
        <v>334</v>
      </c>
    </row>
    <row r="9" spans="1:24" x14ac:dyDescent="0.3">
      <c r="A9" s="9">
        <v>44489</v>
      </c>
      <c r="B9" s="10" t="s">
        <v>232</v>
      </c>
      <c r="C9" s="11">
        <v>10295</v>
      </c>
      <c r="D9" s="10">
        <v>2012</v>
      </c>
      <c r="E9" s="10" t="s">
        <v>42</v>
      </c>
      <c r="F9" s="10" t="s">
        <v>148</v>
      </c>
      <c r="G9" s="10" t="s">
        <v>188</v>
      </c>
      <c r="H9" s="10" t="s">
        <v>171</v>
      </c>
      <c r="I9" s="12">
        <v>98406</v>
      </c>
      <c r="J9" s="10" t="b">
        <v>0</v>
      </c>
      <c r="K9" s="10" t="s">
        <v>36</v>
      </c>
      <c r="L9" s="10" t="s">
        <v>30</v>
      </c>
      <c r="M9" s="10">
        <v>230</v>
      </c>
      <c r="N9" s="10">
        <v>3</v>
      </c>
      <c r="O9" s="10" t="s">
        <v>49</v>
      </c>
      <c r="P9" s="10">
        <v>23</v>
      </c>
      <c r="Q9" s="10" t="s">
        <v>16</v>
      </c>
      <c r="R9" s="10" t="s">
        <v>17</v>
      </c>
      <c r="S9" s="10" t="b">
        <v>0</v>
      </c>
      <c r="T9" s="10">
        <v>4</v>
      </c>
      <c r="U9" s="10" t="s">
        <v>17</v>
      </c>
      <c r="V9" s="10" t="s">
        <v>17</v>
      </c>
      <c r="W9" s="10">
        <f t="shared" si="0"/>
        <v>9</v>
      </c>
      <c r="X9" s="10" t="s">
        <v>334</v>
      </c>
    </row>
    <row r="10" spans="1:24" x14ac:dyDescent="0.3">
      <c r="A10" s="9">
        <v>44489</v>
      </c>
      <c r="B10" s="10" t="s">
        <v>233</v>
      </c>
      <c r="C10" s="11">
        <v>10500</v>
      </c>
      <c r="D10" s="10">
        <v>2011</v>
      </c>
      <c r="E10" s="10" t="s">
        <v>42</v>
      </c>
      <c r="F10" s="10" t="s">
        <v>51</v>
      </c>
      <c r="G10" s="10" t="s">
        <v>52</v>
      </c>
      <c r="H10" s="10" t="s">
        <v>171</v>
      </c>
      <c r="I10" s="12">
        <v>117200</v>
      </c>
      <c r="J10" s="10" t="b">
        <v>0</v>
      </c>
      <c r="K10" s="10" t="s">
        <v>136</v>
      </c>
      <c r="L10" s="10" t="s">
        <v>30</v>
      </c>
      <c r="M10" s="10">
        <v>230</v>
      </c>
      <c r="N10" s="10">
        <v>3</v>
      </c>
      <c r="O10" s="10" t="s">
        <v>49</v>
      </c>
      <c r="P10" s="10">
        <v>21</v>
      </c>
      <c r="Q10" s="10" t="s">
        <v>16</v>
      </c>
      <c r="R10" s="10" t="s">
        <v>17</v>
      </c>
      <c r="S10" s="10" t="b">
        <v>0</v>
      </c>
      <c r="T10" s="10">
        <v>3</v>
      </c>
      <c r="U10" s="10" t="s">
        <v>17</v>
      </c>
      <c r="V10" s="10" t="s">
        <v>25</v>
      </c>
      <c r="W10" s="10">
        <f t="shared" si="0"/>
        <v>10</v>
      </c>
      <c r="X10" s="10" t="s">
        <v>334</v>
      </c>
    </row>
    <row r="11" spans="1:24" x14ac:dyDescent="0.3">
      <c r="A11" s="9">
        <v>44489</v>
      </c>
      <c r="B11" s="10" t="s">
        <v>241</v>
      </c>
      <c r="C11" s="11">
        <v>19291</v>
      </c>
      <c r="D11" s="10">
        <v>2012</v>
      </c>
      <c r="E11" s="10" t="s">
        <v>42</v>
      </c>
      <c r="F11" s="10" t="s">
        <v>122</v>
      </c>
      <c r="G11" s="10" t="s">
        <v>123</v>
      </c>
      <c r="H11" s="10" t="s">
        <v>171</v>
      </c>
      <c r="I11" s="12">
        <v>90505</v>
      </c>
      <c r="J11" s="10" t="b">
        <v>0</v>
      </c>
      <c r="K11" s="10" t="s">
        <v>36</v>
      </c>
      <c r="L11" s="10" t="s">
        <v>30</v>
      </c>
      <c r="M11" s="10">
        <v>400</v>
      </c>
      <c r="N11" s="10">
        <v>4.4000000000000004</v>
      </c>
      <c r="O11" s="10" t="s">
        <v>74</v>
      </c>
      <c r="P11" s="10">
        <v>19</v>
      </c>
      <c r="Q11" s="10" t="s">
        <v>16</v>
      </c>
      <c r="R11" s="10" t="s">
        <v>17</v>
      </c>
      <c r="S11" s="10" t="b">
        <v>1</v>
      </c>
      <c r="T11" s="10">
        <v>4</v>
      </c>
      <c r="U11" s="10" t="s">
        <v>17</v>
      </c>
      <c r="V11" s="10" t="s">
        <v>17</v>
      </c>
      <c r="W11" s="10">
        <f t="shared" si="0"/>
        <v>9</v>
      </c>
      <c r="X11" s="10" t="s">
        <v>334</v>
      </c>
    </row>
    <row r="12" spans="1:24" x14ac:dyDescent="0.3">
      <c r="A12" s="9">
        <v>44489</v>
      </c>
      <c r="B12" s="10" t="s">
        <v>254</v>
      </c>
      <c r="C12" s="11">
        <v>26997</v>
      </c>
      <c r="D12" s="10">
        <v>2010</v>
      </c>
      <c r="E12" s="10" t="s">
        <v>42</v>
      </c>
      <c r="F12" s="10" t="s">
        <v>51</v>
      </c>
      <c r="G12" s="10" t="s">
        <v>103</v>
      </c>
      <c r="H12" s="10" t="s">
        <v>171</v>
      </c>
      <c r="I12" s="12">
        <v>102823</v>
      </c>
      <c r="J12" s="10" t="b">
        <v>0</v>
      </c>
      <c r="K12" s="10" t="s">
        <v>36</v>
      </c>
      <c r="L12" s="10" t="s">
        <v>30</v>
      </c>
      <c r="M12" s="10">
        <v>414</v>
      </c>
      <c r="N12" s="10">
        <v>4</v>
      </c>
      <c r="O12" s="10" t="s">
        <v>74</v>
      </c>
      <c r="P12" s="10">
        <v>17</v>
      </c>
      <c r="Q12" s="10" t="s">
        <v>16</v>
      </c>
      <c r="R12" s="10" t="s">
        <v>17</v>
      </c>
      <c r="S12" s="10" t="b">
        <v>1</v>
      </c>
      <c r="T12" s="10">
        <v>3</v>
      </c>
      <c r="U12" s="10" t="s">
        <v>17</v>
      </c>
      <c r="V12" s="10" t="s">
        <v>17</v>
      </c>
      <c r="W12" s="10">
        <f t="shared" si="0"/>
        <v>11</v>
      </c>
      <c r="X12" s="10" t="s">
        <v>334</v>
      </c>
    </row>
    <row r="13" spans="1:24" x14ac:dyDescent="0.3">
      <c r="A13" s="9">
        <v>44489</v>
      </c>
      <c r="B13" s="10" t="s">
        <v>201</v>
      </c>
      <c r="C13" s="11">
        <v>8500</v>
      </c>
      <c r="D13" s="10">
        <v>1989</v>
      </c>
      <c r="E13" s="10" t="s">
        <v>144</v>
      </c>
      <c r="F13" s="10" t="s">
        <v>202</v>
      </c>
      <c r="G13" s="10"/>
      <c r="H13" s="10" t="s">
        <v>171</v>
      </c>
      <c r="I13" s="12">
        <v>82332</v>
      </c>
      <c r="J13" s="10" t="b">
        <v>0</v>
      </c>
      <c r="K13" s="10" t="s">
        <v>8</v>
      </c>
      <c r="L13" s="10" t="s">
        <v>30</v>
      </c>
      <c r="M13" s="10">
        <v>165</v>
      </c>
      <c r="N13" s="10">
        <v>3.8</v>
      </c>
      <c r="O13" s="10" t="s">
        <v>58</v>
      </c>
      <c r="P13" s="10">
        <v>21</v>
      </c>
      <c r="Q13" s="10" t="s">
        <v>16</v>
      </c>
      <c r="R13" s="10" t="s">
        <v>17</v>
      </c>
      <c r="S13" s="10" t="b">
        <v>0</v>
      </c>
      <c r="T13" s="10">
        <v>3</v>
      </c>
      <c r="U13" s="10" t="s">
        <v>17</v>
      </c>
      <c r="V13" s="10" t="s">
        <v>17</v>
      </c>
      <c r="W13" s="10">
        <f t="shared" si="0"/>
        <v>32</v>
      </c>
      <c r="X13" s="10" t="s">
        <v>335</v>
      </c>
    </row>
    <row r="14" spans="1:24" x14ac:dyDescent="0.3">
      <c r="A14" s="9">
        <v>44489</v>
      </c>
      <c r="B14" s="10" t="s">
        <v>246</v>
      </c>
      <c r="C14" s="11">
        <v>11998</v>
      </c>
      <c r="D14" s="10">
        <v>2000</v>
      </c>
      <c r="E14" s="10" t="s">
        <v>119</v>
      </c>
      <c r="F14" s="10" t="s">
        <v>247</v>
      </c>
      <c r="G14" s="10" t="s">
        <v>248</v>
      </c>
      <c r="H14" s="10" t="s">
        <v>171</v>
      </c>
      <c r="I14" s="12">
        <v>58867</v>
      </c>
      <c r="J14" s="10" t="b">
        <v>0</v>
      </c>
      <c r="K14" s="10" t="s">
        <v>8</v>
      </c>
      <c r="L14" s="10" t="s">
        <v>30</v>
      </c>
      <c r="M14" s="10">
        <v>275</v>
      </c>
      <c r="N14" s="10">
        <v>4.5999999999999996</v>
      </c>
      <c r="O14" s="10" t="s">
        <v>74</v>
      </c>
      <c r="P14" s="10">
        <v>20</v>
      </c>
      <c r="Q14" s="10" t="s">
        <v>16</v>
      </c>
      <c r="R14" s="10" t="s">
        <v>17</v>
      </c>
      <c r="S14" s="10" t="b">
        <v>0</v>
      </c>
      <c r="T14" s="10">
        <v>4</v>
      </c>
      <c r="U14" s="10" t="s">
        <v>17</v>
      </c>
      <c r="V14" s="10" t="s">
        <v>25</v>
      </c>
      <c r="W14" s="10">
        <f t="shared" si="0"/>
        <v>21</v>
      </c>
      <c r="X14" s="10" t="s">
        <v>335</v>
      </c>
    </row>
    <row r="15" spans="1:24" x14ac:dyDescent="0.3">
      <c r="A15" s="9">
        <v>44489</v>
      </c>
      <c r="B15" s="10" t="s">
        <v>255</v>
      </c>
      <c r="C15" s="11">
        <v>26991</v>
      </c>
      <c r="D15" s="10">
        <v>2011</v>
      </c>
      <c r="E15" s="10" t="s">
        <v>119</v>
      </c>
      <c r="F15" s="10" t="s">
        <v>256</v>
      </c>
      <c r="G15" s="10"/>
      <c r="H15" s="10" t="s">
        <v>171</v>
      </c>
      <c r="I15" s="12">
        <v>134323</v>
      </c>
      <c r="J15" s="10" t="b">
        <v>0</v>
      </c>
      <c r="K15" s="10" t="s">
        <v>36</v>
      </c>
      <c r="L15" s="10" t="s">
        <v>30</v>
      </c>
      <c r="M15" s="10">
        <v>556</v>
      </c>
      <c r="N15" s="10">
        <v>6.2</v>
      </c>
      <c r="O15" s="10" t="s">
        <v>74</v>
      </c>
      <c r="P15" s="10">
        <v>15</v>
      </c>
      <c r="Q15" s="10" t="s">
        <v>16</v>
      </c>
      <c r="R15" s="10" t="s">
        <v>17</v>
      </c>
      <c r="S15" s="10" t="b">
        <v>0</v>
      </c>
      <c r="T15" s="10">
        <v>1</v>
      </c>
      <c r="U15" s="10" t="s">
        <v>17</v>
      </c>
      <c r="V15" s="10" t="s">
        <v>17</v>
      </c>
      <c r="W15" s="10">
        <f t="shared" si="0"/>
        <v>10</v>
      </c>
      <c r="X15" s="10" t="s">
        <v>335</v>
      </c>
    </row>
    <row r="16" spans="1:24" x14ac:dyDescent="0.3">
      <c r="A16" s="9">
        <v>44489</v>
      </c>
      <c r="B16" s="10" t="s">
        <v>209</v>
      </c>
      <c r="C16" s="11">
        <v>19500</v>
      </c>
      <c r="D16" s="10">
        <v>2017</v>
      </c>
      <c r="E16" s="10" t="s">
        <v>76</v>
      </c>
      <c r="F16" s="10" t="s">
        <v>157</v>
      </c>
      <c r="G16" s="10" t="s">
        <v>158</v>
      </c>
      <c r="H16" s="10" t="s">
        <v>171</v>
      </c>
      <c r="I16" s="12">
        <v>69152</v>
      </c>
      <c r="J16" s="10" t="b">
        <v>0</v>
      </c>
      <c r="K16" s="10" t="s">
        <v>36</v>
      </c>
      <c r="L16" s="10" t="s">
        <v>30</v>
      </c>
      <c r="M16" s="10">
        <v>275</v>
      </c>
      <c r="N16" s="10">
        <v>2</v>
      </c>
      <c r="O16" s="10" t="s">
        <v>13</v>
      </c>
      <c r="P16" s="10">
        <v>26</v>
      </c>
      <c r="Q16" s="10" t="s">
        <v>16</v>
      </c>
      <c r="R16" s="10" t="s">
        <v>17</v>
      </c>
      <c r="S16" s="10" t="b">
        <v>0</v>
      </c>
      <c r="T16" s="10">
        <v>3</v>
      </c>
      <c r="U16" s="10" t="s">
        <v>17</v>
      </c>
      <c r="V16" s="10" t="s">
        <v>25</v>
      </c>
      <c r="W16" s="10">
        <f t="shared" si="0"/>
        <v>4</v>
      </c>
      <c r="X16" s="10" t="s">
        <v>335</v>
      </c>
    </row>
    <row r="17" spans="1:24" x14ac:dyDescent="0.3">
      <c r="A17" s="9">
        <v>44489</v>
      </c>
      <c r="B17" s="10" t="s">
        <v>237</v>
      </c>
      <c r="C17" s="11">
        <v>19980</v>
      </c>
      <c r="D17" s="10">
        <v>2004</v>
      </c>
      <c r="E17" s="10" t="s">
        <v>76</v>
      </c>
      <c r="F17" s="10" t="s">
        <v>77</v>
      </c>
      <c r="G17" s="10"/>
      <c r="H17" s="10" t="s">
        <v>171</v>
      </c>
      <c r="I17" s="12">
        <v>57156</v>
      </c>
      <c r="J17" s="10" t="b">
        <v>0</v>
      </c>
      <c r="K17" s="10" t="s">
        <v>36</v>
      </c>
      <c r="L17" s="10" t="s">
        <v>30</v>
      </c>
      <c r="M17" s="10">
        <v>350</v>
      </c>
      <c r="N17" s="10">
        <v>5.7</v>
      </c>
      <c r="O17" s="10" t="s">
        <v>74</v>
      </c>
      <c r="P17" s="10">
        <v>19</v>
      </c>
      <c r="Q17" s="10" t="s">
        <v>16</v>
      </c>
      <c r="R17" s="10" t="s">
        <v>17</v>
      </c>
      <c r="S17" s="10" t="b">
        <v>0</v>
      </c>
      <c r="T17" s="10">
        <v>4</v>
      </c>
      <c r="U17" s="10" t="s">
        <v>17</v>
      </c>
      <c r="V17" s="10" t="s">
        <v>17</v>
      </c>
      <c r="W17" s="10">
        <f t="shared" si="0"/>
        <v>17</v>
      </c>
      <c r="X17" s="10" t="s">
        <v>335</v>
      </c>
    </row>
    <row r="18" spans="1:24" x14ac:dyDescent="0.3">
      <c r="A18" s="9">
        <v>44489</v>
      </c>
      <c r="B18" s="10" t="s">
        <v>257</v>
      </c>
      <c r="C18" s="11">
        <v>27000</v>
      </c>
      <c r="D18" s="10">
        <v>2016</v>
      </c>
      <c r="E18" s="10" t="s">
        <v>76</v>
      </c>
      <c r="F18" s="10" t="s">
        <v>157</v>
      </c>
      <c r="G18" s="10" t="s">
        <v>258</v>
      </c>
      <c r="H18" s="10" t="s">
        <v>171</v>
      </c>
      <c r="I18" s="12">
        <v>93363</v>
      </c>
      <c r="J18" s="10" t="b">
        <v>0</v>
      </c>
      <c r="K18" s="10" t="s">
        <v>36</v>
      </c>
      <c r="L18" s="10" t="s">
        <v>30</v>
      </c>
      <c r="M18" s="10">
        <v>455</v>
      </c>
      <c r="N18" s="10">
        <v>6.2</v>
      </c>
      <c r="O18" s="10" t="s">
        <v>74</v>
      </c>
      <c r="P18" s="10">
        <v>22</v>
      </c>
      <c r="Q18" s="10" t="s">
        <v>16</v>
      </c>
      <c r="R18" s="10" t="s">
        <v>17</v>
      </c>
      <c r="S18" s="10" t="b">
        <v>0</v>
      </c>
      <c r="T18" s="10">
        <v>3</v>
      </c>
      <c r="U18" s="10" t="s">
        <v>17</v>
      </c>
      <c r="V18" s="10" t="s">
        <v>17</v>
      </c>
      <c r="W18" s="10">
        <f t="shared" si="0"/>
        <v>5</v>
      </c>
      <c r="X18" s="10" t="s">
        <v>335</v>
      </c>
    </row>
    <row r="19" spans="1:24" x14ac:dyDescent="0.3">
      <c r="A19" s="9">
        <v>44489</v>
      </c>
      <c r="B19" s="10" t="s">
        <v>227</v>
      </c>
      <c r="C19" s="11">
        <v>17500</v>
      </c>
      <c r="D19" s="10">
        <v>2016</v>
      </c>
      <c r="E19" s="10" t="s">
        <v>228</v>
      </c>
      <c r="F19" s="10" t="s">
        <v>229</v>
      </c>
      <c r="G19" s="10" t="s">
        <v>230</v>
      </c>
      <c r="H19" s="10" t="s">
        <v>171</v>
      </c>
      <c r="I19" s="12">
        <v>99895</v>
      </c>
      <c r="J19" s="10" t="b">
        <v>0</v>
      </c>
      <c r="K19" s="10" t="s">
        <v>36</v>
      </c>
      <c r="L19" s="10" t="s">
        <v>30</v>
      </c>
      <c r="M19" s="10">
        <v>305</v>
      </c>
      <c r="N19" s="10">
        <v>3.6</v>
      </c>
      <c r="O19" s="10" t="s">
        <v>58</v>
      </c>
      <c r="P19" s="10">
        <v>24</v>
      </c>
      <c r="Q19" s="10" t="s">
        <v>16</v>
      </c>
      <c r="R19" s="10" t="s">
        <v>25</v>
      </c>
      <c r="S19" s="10" t="b">
        <v>1</v>
      </c>
      <c r="T19" s="10">
        <v>1</v>
      </c>
      <c r="U19" s="10" t="s">
        <v>17</v>
      </c>
      <c r="V19" s="10" t="s">
        <v>17</v>
      </c>
      <c r="W19" s="10">
        <f t="shared" si="0"/>
        <v>5</v>
      </c>
      <c r="X19" s="10" t="s">
        <v>335</v>
      </c>
    </row>
    <row r="20" spans="1:24" x14ac:dyDescent="0.3">
      <c r="A20" s="9">
        <v>44489</v>
      </c>
      <c r="B20" s="10" t="s">
        <v>235</v>
      </c>
      <c r="C20" s="11">
        <v>19591</v>
      </c>
      <c r="D20" s="10">
        <v>2010</v>
      </c>
      <c r="E20" s="10" t="s">
        <v>228</v>
      </c>
      <c r="F20" s="10" t="s">
        <v>229</v>
      </c>
      <c r="G20" s="10" t="s">
        <v>236</v>
      </c>
      <c r="H20" s="10" t="s">
        <v>171</v>
      </c>
      <c r="I20" s="12">
        <v>56464</v>
      </c>
      <c r="J20" s="10" t="b">
        <v>0</v>
      </c>
      <c r="K20" s="10" t="s">
        <v>36</v>
      </c>
      <c r="L20" s="10" t="s">
        <v>30</v>
      </c>
      <c r="M20" s="10">
        <v>372</v>
      </c>
      <c r="N20" s="10">
        <v>5.7</v>
      </c>
      <c r="O20" s="10" t="s">
        <v>74</v>
      </c>
      <c r="P20" s="10">
        <v>20</v>
      </c>
      <c r="Q20" s="10" t="s">
        <v>16</v>
      </c>
      <c r="R20" s="10" t="s">
        <v>17</v>
      </c>
      <c r="S20" s="10" t="b">
        <v>1</v>
      </c>
      <c r="T20" s="10">
        <v>3</v>
      </c>
      <c r="U20" s="10" t="s">
        <v>17</v>
      </c>
      <c r="V20" s="10" t="s">
        <v>17</v>
      </c>
      <c r="W20" s="10">
        <f t="shared" si="0"/>
        <v>11</v>
      </c>
      <c r="X20" s="10" t="s">
        <v>335</v>
      </c>
    </row>
    <row r="21" spans="1:24" x14ac:dyDescent="0.3">
      <c r="A21" s="9">
        <v>44489</v>
      </c>
      <c r="B21" s="10" t="s">
        <v>259</v>
      </c>
      <c r="C21" s="11">
        <v>29991</v>
      </c>
      <c r="D21" s="10">
        <v>2016</v>
      </c>
      <c r="E21" s="10" t="s">
        <v>228</v>
      </c>
      <c r="F21" s="10" t="s">
        <v>229</v>
      </c>
      <c r="G21" s="10" t="s">
        <v>260</v>
      </c>
      <c r="H21" s="10" t="s">
        <v>171</v>
      </c>
      <c r="I21" s="12">
        <v>45762</v>
      </c>
      <c r="J21" s="10" t="b">
        <v>1</v>
      </c>
      <c r="K21" s="10" t="s">
        <v>36</v>
      </c>
      <c r="L21" s="10" t="s">
        <v>30</v>
      </c>
      <c r="M21" s="10">
        <v>375</v>
      </c>
      <c r="N21" s="10">
        <v>5.7</v>
      </c>
      <c r="O21" s="10" t="s">
        <v>74</v>
      </c>
      <c r="P21" s="10">
        <v>19</v>
      </c>
      <c r="Q21" s="10" t="s">
        <v>16</v>
      </c>
      <c r="R21" s="10" t="s">
        <v>17</v>
      </c>
      <c r="S21" s="10" t="b">
        <v>1</v>
      </c>
      <c r="T21" s="10">
        <v>2</v>
      </c>
      <c r="U21" s="10" t="s">
        <v>17</v>
      </c>
      <c r="V21" s="10" t="s">
        <v>17</v>
      </c>
      <c r="W21" s="10">
        <f t="shared" si="0"/>
        <v>5</v>
      </c>
      <c r="X21" s="10" t="s">
        <v>335</v>
      </c>
    </row>
    <row r="22" spans="1:24" x14ac:dyDescent="0.3">
      <c r="A22" s="9">
        <v>44489</v>
      </c>
      <c r="B22" s="10" t="s">
        <v>185</v>
      </c>
      <c r="C22" s="11">
        <v>6499</v>
      </c>
      <c r="D22" s="10">
        <v>2007</v>
      </c>
      <c r="E22" s="10" t="s">
        <v>63</v>
      </c>
      <c r="F22" s="10" t="s">
        <v>64</v>
      </c>
      <c r="G22" s="10" t="s">
        <v>186</v>
      </c>
      <c r="H22" s="10" t="s">
        <v>171</v>
      </c>
      <c r="I22" s="12">
        <v>135256</v>
      </c>
      <c r="J22" s="10" t="b">
        <v>0</v>
      </c>
      <c r="K22" s="10" t="s">
        <v>36</v>
      </c>
      <c r="L22" s="10" t="s">
        <v>30</v>
      </c>
      <c r="M22" s="10">
        <v>300</v>
      </c>
      <c r="N22" s="10">
        <v>4.5999999999999996</v>
      </c>
      <c r="O22" s="10" t="s">
        <v>74</v>
      </c>
      <c r="P22" s="10">
        <v>18</v>
      </c>
      <c r="Q22" s="10" t="s">
        <v>16</v>
      </c>
      <c r="R22" s="10" t="s">
        <v>17</v>
      </c>
      <c r="S22" s="10" t="b">
        <v>0</v>
      </c>
      <c r="T22" s="10">
        <v>6</v>
      </c>
      <c r="U22" s="10" t="s">
        <v>17</v>
      </c>
      <c r="V22" s="10" t="s">
        <v>25</v>
      </c>
      <c r="W22" s="10">
        <f t="shared" si="0"/>
        <v>14</v>
      </c>
      <c r="X22" s="10" t="s">
        <v>335</v>
      </c>
    </row>
    <row r="23" spans="1:24" x14ac:dyDescent="0.3">
      <c r="A23" s="9">
        <v>44489</v>
      </c>
      <c r="B23" s="10" t="s">
        <v>196</v>
      </c>
      <c r="C23" s="11">
        <v>9250</v>
      </c>
      <c r="D23" s="10">
        <v>2011</v>
      </c>
      <c r="E23" s="10" t="s">
        <v>63</v>
      </c>
      <c r="F23" s="10" t="s">
        <v>64</v>
      </c>
      <c r="G23" s="10"/>
      <c r="H23" s="10" t="s">
        <v>171</v>
      </c>
      <c r="I23" s="12">
        <v>141950</v>
      </c>
      <c r="J23" s="10" t="b">
        <v>0</v>
      </c>
      <c r="K23" s="10" t="s">
        <v>36</v>
      </c>
      <c r="L23" s="10" t="s">
        <v>30</v>
      </c>
      <c r="M23" s="10">
        <v>305</v>
      </c>
      <c r="N23" s="10">
        <v>3.7</v>
      </c>
      <c r="O23" s="10" t="s">
        <v>58</v>
      </c>
      <c r="P23" s="10">
        <v>24</v>
      </c>
      <c r="Q23" s="10" t="s">
        <v>16</v>
      </c>
      <c r="R23" s="10" t="s">
        <v>17</v>
      </c>
      <c r="S23" s="10" t="b">
        <v>0</v>
      </c>
      <c r="T23" s="10">
        <v>2</v>
      </c>
      <c r="U23" s="10" t="s">
        <v>17</v>
      </c>
      <c r="V23" s="10" t="s">
        <v>17</v>
      </c>
      <c r="W23" s="10">
        <f t="shared" si="0"/>
        <v>10</v>
      </c>
      <c r="X23" s="10" t="s">
        <v>335</v>
      </c>
    </row>
    <row r="24" spans="1:24" x14ac:dyDescent="0.3">
      <c r="A24" s="9">
        <v>44489</v>
      </c>
      <c r="B24" s="10" t="s">
        <v>222</v>
      </c>
      <c r="C24" s="11">
        <v>16999</v>
      </c>
      <c r="D24" s="10">
        <v>2017</v>
      </c>
      <c r="E24" s="10" t="s">
        <v>63</v>
      </c>
      <c r="F24" s="10" t="s">
        <v>64</v>
      </c>
      <c r="G24" s="10"/>
      <c r="H24" s="10" t="s">
        <v>171</v>
      </c>
      <c r="I24" s="12">
        <v>70403</v>
      </c>
      <c r="J24" s="10" t="b">
        <v>0</v>
      </c>
      <c r="K24" s="10" t="s">
        <v>36</v>
      </c>
      <c r="L24" s="10" t="s">
        <v>30</v>
      </c>
      <c r="M24" s="10">
        <v>300</v>
      </c>
      <c r="N24" s="10">
        <v>3.7</v>
      </c>
      <c r="O24" s="10" t="s">
        <v>58</v>
      </c>
      <c r="P24" s="10">
        <v>22</v>
      </c>
      <c r="Q24" s="10" t="s">
        <v>16</v>
      </c>
      <c r="R24" s="10" t="s">
        <v>25</v>
      </c>
      <c r="S24" s="10" t="b">
        <v>1</v>
      </c>
      <c r="T24" s="10">
        <v>3</v>
      </c>
      <c r="U24" s="10" t="s">
        <v>17</v>
      </c>
      <c r="V24" s="10" t="s">
        <v>17</v>
      </c>
      <c r="W24" s="10">
        <f t="shared" si="0"/>
        <v>4</v>
      </c>
      <c r="X24" s="10" t="s">
        <v>335</v>
      </c>
    </row>
    <row r="25" spans="1:24" x14ac:dyDescent="0.3">
      <c r="A25" s="9">
        <v>44489</v>
      </c>
      <c r="B25" s="10" t="s">
        <v>167</v>
      </c>
      <c r="C25" s="11">
        <v>7299</v>
      </c>
      <c r="D25" s="10">
        <v>2011</v>
      </c>
      <c r="E25" s="10" t="s">
        <v>168</v>
      </c>
      <c r="F25" s="10" t="s">
        <v>169</v>
      </c>
      <c r="G25" s="10" t="s">
        <v>170</v>
      </c>
      <c r="H25" s="10" t="s">
        <v>171</v>
      </c>
      <c r="I25" s="10">
        <v>92583</v>
      </c>
      <c r="J25" s="10" t="b">
        <v>0</v>
      </c>
      <c r="K25" s="10" t="s">
        <v>8</v>
      </c>
      <c r="L25" s="10" t="s">
        <v>30</v>
      </c>
      <c r="M25" s="10">
        <v>140</v>
      </c>
      <c r="N25" s="10">
        <v>1.8</v>
      </c>
      <c r="O25" s="10" t="s">
        <v>13</v>
      </c>
      <c r="P25" s="10">
        <v>30</v>
      </c>
      <c r="Q25" s="10" t="s">
        <v>16</v>
      </c>
      <c r="R25" s="10" t="s">
        <v>17</v>
      </c>
      <c r="S25" s="10" t="b">
        <v>0</v>
      </c>
      <c r="T25" s="10">
        <v>4</v>
      </c>
      <c r="U25" s="10" t="s">
        <v>17</v>
      </c>
      <c r="V25" s="10" t="s">
        <v>17</v>
      </c>
      <c r="W25" s="10">
        <f t="shared" si="0"/>
        <v>10</v>
      </c>
      <c r="X25" s="10" t="s">
        <v>333</v>
      </c>
    </row>
    <row r="26" spans="1:24" x14ac:dyDescent="0.3">
      <c r="A26" s="9">
        <v>44489</v>
      </c>
      <c r="B26" s="10" t="s">
        <v>172</v>
      </c>
      <c r="C26" s="11">
        <v>5495</v>
      </c>
      <c r="D26" s="10">
        <v>2011</v>
      </c>
      <c r="E26" s="10" t="s">
        <v>168</v>
      </c>
      <c r="F26" s="10" t="s">
        <v>169</v>
      </c>
      <c r="G26" s="10" t="s">
        <v>173</v>
      </c>
      <c r="H26" s="10" t="s">
        <v>171</v>
      </c>
      <c r="I26" s="10">
        <v>149812</v>
      </c>
      <c r="J26" s="10" t="b">
        <v>0</v>
      </c>
      <c r="K26" s="10" t="s">
        <v>8</v>
      </c>
      <c r="L26" s="10" t="s">
        <v>30</v>
      </c>
      <c r="M26" s="10">
        <v>140</v>
      </c>
      <c r="N26" s="10">
        <v>1.8</v>
      </c>
      <c r="O26" s="10" t="s">
        <v>13</v>
      </c>
      <c r="P26" s="10">
        <v>30</v>
      </c>
      <c r="Q26" s="10" t="s">
        <v>16</v>
      </c>
      <c r="R26" s="10" t="s">
        <v>25</v>
      </c>
      <c r="S26" s="10" t="b">
        <v>1</v>
      </c>
      <c r="T26" s="10">
        <v>4</v>
      </c>
      <c r="U26" s="10" t="s">
        <v>17</v>
      </c>
      <c r="V26" s="10" t="s">
        <v>17</v>
      </c>
      <c r="W26" s="10">
        <f t="shared" si="0"/>
        <v>10</v>
      </c>
      <c r="X26" s="10" t="s">
        <v>333</v>
      </c>
    </row>
    <row r="27" spans="1:24" x14ac:dyDescent="0.3">
      <c r="A27" s="9">
        <v>44489</v>
      </c>
      <c r="B27" s="10" t="s">
        <v>194</v>
      </c>
      <c r="C27" s="11">
        <v>4994</v>
      </c>
      <c r="D27" s="10">
        <v>2008</v>
      </c>
      <c r="E27" s="10" t="s">
        <v>168</v>
      </c>
      <c r="F27" s="10" t="s">
        <v>195</v>
      </c>
      <c r="G27" s="10"/>
      <c r="H27" s="10" t="s">
        <v>171</v>
      </c>
      <c r="I27" s="12">
        <v>203339</v>
      </c>
      <c r="J27" s="10" t="b">
        <v>0</v>
      </c>
      <c r="K27" s="10" t="s">
        <v>8</v>
      </c>
      <c r="L27" s="10" t="s">
        <v>30</v>
      </c>
      <c r="M27" s="10">
        <v>268</v>
      </c>
      <c r="N27" s="10">
        <v>3.5</v>
      </c>
      <c r="O27" s="10" t="s">
        <v>58</v>
      </c>
      <c r="P27" s="10">
        <v>23</v>
      </c>
      <c r="Q27" s="10" t="s">
        <v>16</v>
      </c>
      <c r="R27" s="10" t="s">
        <v>17</v>
      </c>
      <c r="S27" s="10" t="b">
        <v>1</v>
      </c>
      <c r="T27" s="10">
        <v>7</v>
      </c>
      <c r="U27" s="10" t="s">
        <v>17</v>
      </c>
      <c r="V27" s="10" t="s">
        <v>17</v>
      </c>
      <c r="W27" s="10">
        <f t="shared" si="0"/>
        <v>13</v>
      </c>
      <c r="X27" s="10" t="s">
        <v>333</v>
      </c>
    </row>
    <row r="28" spans="1:24" x14ac:dyDescent="0.3">
      <c r="A28" s="9">
        <v>44489</v>
      </c>
      <c r="B28" s="10" t="s">
        <v>211</v>
      </c>
      <c r="C28" s="11">
        <v>14000</v>
      </c>
      <c r="D28" s="10">
        <v>2015</v>
      </c>
      <c r="E28" s="10" t="s">
        <v>168</v>
      </c>
      <c r="F28" s="10" t="s">
        <v>195</v>
      </c>
      <c r="G28" s="10" t="s">
        <v>212</v>
      </c>
      <c r="H28" s="10" t="s">
        <v>171</v>
      </c>
      <c r="I28" s="12">
        <v>74498</v>
      </c>
      <c r="J28" s="10" t="b">
        <v>0</v>
      </c>
      <c r="K28" s="10" t="s">
        <v>8</v>
      </c>
      <c r="L28" s="10" t="s">
        <v>30</v>
      </c>
      <c r="M28" s="10">
        <v>185</v>
      </c>
      <c r="N28" s="10">
        <v>2.4</v>
      </c>
      <c r="O28" s="10" t="s">
        <v>13</v>
      </c>
      <c r="P28" s="10">
        <v>30</v>
      </c>
      <c r="Q28" s="10" t="s">
        <v>16</v>
      </c>
      <c r="R28" s="10" t="s">
        <v>17</v>
      </c>
      <c r="S28" s="10" t="b">
        <v>1</v>
      </c>
      <c r="T28" s="10">
        <v>4</v>
      </c>
      <c r="U28" s="10" t="s">
        <v>17</v>
      </c>
      <c r="V28" s="10" t="s">
        <v>17</v>
      </c>
      <c r="W28" s="10">
        <f t="shared" si="0"/>
        <v>6</v>
      </c>
      <c r="X28" s="10" t="s">
        <v>333</v>
      </c>
    </row>
    <row r="29" spans="1:24" x14ac:dyDescent="0.3">
      <c r="A29" s="9">
        <v>44489</v>
      </c>
      <c r="B29" s="10" t="s">
        <v>217</v>
      </c>
      <c r="C29" s="11">
        <v>16850</v>
      </c>
      <c r="D29" s="10">
        <v>2015</v>
      </c>
      <c r="E29" s="10" t="s">
        <v>168</v>
      </c>
      <c r="F29" s="10" t="s">
        <v>169</v>
      </c>
      <c r="G29" s="10" t="s">
        <v>218</v>
      </c>
      <c r="H29" s="10" t="s">
        <v>171</v>
      </c>
      <c r="I29" s="12">
        <v>95740</v>
      </c>
      <c r="J29" s="10" t="b">
        <v>1</v>
      </c>
      <c r="K29" s="10" t="s">
        <v>8</v>
      </c>
      <c r="L29" s="10" t="s">
        <v>30</v>
      </c>
      <c r="M29" s="10">
        <v>205</v>
      </c>
      <c r="N29" s="10">
        <v>2.4</v>
      </c>
      <c r="O29" s="10" t="s">
        <v>13</v>
      </c>
      <c r="P29" s="10">
        <v>26</v>
      </c>
      <c r="Q29" s="10" t="s">
        <v>16</v>
      </c>
      <c r="R29" s="10" t="s">
        <v>17</v>
      </c>
      <c r="S29" s="10" t="b">
        <v>0</v>
      </c>
      <c r="T29" s="10">
        <v>2</v>
      </c>
      <c r="U29" s="10" t="s">
        <v>17</v>
      </c>
      <c r="V29" s="10" t="s">
        <v>17</v>
      </c>
      <c r="W29" s="10">
        <f t="shared" si="0"/>
        <v>6</v>
      </c>
      <c r="X29" s="10" t="s">
        <v>333</v>
      </c>
    </row>
    <row r="30" spans="1:24" x14ac:dyDescent="0.3">
      <c r="A30" s="9">
        <v>44489</v>
      </c>
      <c r="B30" s="10" t="s">
        <v>210</v>
      </c>
      <c r="C30" s="11">
        <v>13500</v>
      </c>
      <c r="D30" s="10">
        <v>2016</v>
      </c>
      <c r="E30" s="10" t="s">
        <v>177</v>
      </c>
      <c r="F30" s="10" t="s">
        <v>178</v>
      </c>
      <c r="G30" s="10" t="s">
        <v>95</v>
      </c>
      <c r="H30" s="10" t="s">
        <v>171</v>
      </c>
      <c r="I30" s="12">
        <v>76961</v>
      </c>
      <c r="J30" s="10" t="b">
        <v>1</v>
      </c>
      <c r="K30" s="10" t="s">
        <v>8</v>
      </c>
      <c r="L30" s="10" t="s">
        <v>30</v>
      </c>
      <c r="M30" s="10">
        <v>201</v>
      </c>
      <c r="N30" s="10">
        <v>1.6</v>
      </c>
      <c r="O30" s="10" t="s">
        <v>13</v>
      </c>
      <c r="P30" s="10">
        <v>29</v>
      </c>
      <c r="Q30" s="10" t="s">
        <v>16</v>
      </c>
      <c r="R30" s="10" t="s">
        <v>17</v>
      </c>
      <c r="S30" s="10" t="b">
        <v>0</v>
      </c>
      <c r="T30" s="10">
        <v>1</v>
      </c>
      <c r="U30" s="10" t="s">
        <v>17</v>
      </c>
      <c r="V30" s="10" t="s">
        <v>17</v>
      </c>
      <c r="W30" s="10">
        <f t="shared" si="0"/>
        <v>5</v>
      </c>
      <c r="X30" s="10" t="s">
        <v>537</v>
      </c>
    </row>
    <row r="31" spans="1:24" x14ac:dyDescent="0.3">
      <c r="A31" s="9">
        <v>44489</v>
      </c>
      <c r="B31" s="10" t="s">
        <v>197</v>
      </c>
      <c r="C31" s="11">
        <v>6800</v>
      </c>
      <c r="D31" s="10">
        <v>2008</v>
      </c>
      <c r="E31" s="10" t="s">
        <v>60</v>
      </c>
      <c r="F31" s="10" t="s">
        <v>61</v>
      </c>
      <c r="G31" s="10" t="s">
        <v>198</v>
      </c>
      <c r="H31" s="10" t="s">
        <v>171</v>
      </c>
      <c r="I31" s="12">
        <v>171248</v>
      </c>
      <c r="J31" s="10" t="b">
        <v>1</v>
      </c>
      <c r="K31" s="10" t="s">
        <v>36</v>
      </c>
      <c r="L31" s="10" t="s">
        <v>30</v>
      </c>
      <c r="M31" s="10">
        <v>330</v>
      </c>
      <c r="N31" s="10">
        <v>3.7</v>
      </c>
      <c r="O31" s="10" t="s">
        <v>58</v>
      </c>
      <c r="P31" s="10">
        <v>21</v>
      </c>
      <c r="Q31" s="10" t="s">
        <v>16</v>
      </c>
      <c r="R31" s="10" t="s">
        <v>17</v>
      </c>
      <c r="S31" s="10" t="b">
        <v>0</v>
      </c>
      <c r="T31" s="10">
        <v>4</v>
      </c>
      <c r="U31" s="10" t="s">
        <v>17</v>
      </c>
      <c r="V31" s="10" t="s">
        <v>17</v>
      </c>
      <c r="W31" s="10">
        <f t="shared" si="0"/>
        <v>13</v>
      </c>
      <c r="X31" s="10" t="s">
        <v>333</v>
      </c>
    </row>
    <row r="32" spans="1:24" x14ac:dyDescent="0.3">
      <c r="A32" s="9">
        <v>44489</v>
      </c>
      <c r="B32" s="10" t="s">
        <v>199</v>
      </c>
      <c r="C32" s="11">
        <v>6450</v>
      </c>
      <c r="D32" s="10">
        <v>2004</v>
      </c>
      <c r="E32" s="10" t="s">
        <v>60</v>
      </c>
      <c r="F32" s="10" t="s">
        <v>200</v>
      </c>
      <c r="G32" s="10"/>
      <c r="H32" s="10" t="s">
        <v>171</v>
      </c>
      <c r="I32" s="12">
        <v>139263</v>
      </c>
      <c r="J32" s="10" t="b">
        <v>0</v>
      </c>
      <c r="K32" s="10" t="s">
        <v>36</v>
      </c>
      <c r="L32" s="10" t="s">
        <v>30</v>
      </c>
      <c r="M32" s="10">
        <v>280</v>
      </c>
      <c r="N32" s="10">
        <v>3.5</v>
      </c>
      <c r="O32" s="10" t="s">
        <v>58</v>
      </c>
      <c r="P32" s="10">
        <v>19</v>
      </c>
      <c r="Q32" s="10" t="s">
        <v>16</v>
      </c>
      <c r="R32" s="10" t="s">
        <v>17</v>
      </c>
      <c r="S32" s="10" t="b">
        <v>0</v>
      </c>
      <c r="T32" s="10">
        <v>3</v>
      </c>
      <c r="U32" s="10" t="s">
        <v>17</v>
      </c>
      <c r="V32" s="10" t="s">
        <v>17</v>
      </c>
      <c r="W32" s="10">
        <f t="shared" si="0"/>
        <v>17</v>
      </c>
      <c r="X32" s="10" t="s">
        <v>333</v>
      </c>
    </row>
    <row r="33" spans="1:24" x14ac:dyDescent="0.3">
      <c r="A33" s="9">
        <v>44489</v>
      </c>
      <c r="B33" s="10" t="s">
        <v>224</v>
      </c>
      <c r="C33" s="11">
        <v>16900</v>
      </c>
      <c r="D33" s="10">
        <v>2014</v>
      </c>
      <c r="E33" s="10" t="s">
        <v>60</v>
      </c>
      <c r="F33" s="10" t="s">
        <v>225</v>
      </c>
      <c r="G33" s="10" t="s">
        <v>226</v>
      </c>
      <c r="H33" s="10" t="s">
        <v>171</v>
      </c>
      <c r="I33" s="12">
        <v>57125</v>
      </c>
      <c r="J33" s="10" t="b">
        <v>0</v>
      </c>
      <c r="K33" s="10" t="s">
        <v>36</v>
      </c>
      <c r="L33" s="10" t="s">
        <v>30</v>
      </c>
      <c r="M33" s="10">
        <v>330</v>
      </c>
      <c r="N33" s="10">
        <v>3.7</v>
      </c>
      <c r="O33" s="10" t="s">
        <v>58</v>
      </c>
      <c r="P33" s="10">
        <v>23</v>
      </c>
      <c r="Q33" s="10" t="s">
        <v>16</v>
      </c>
      <c r="R33" s="10" t="s">
        <v>25</v>
      </c>
      <c r="S33" s="10" t="b">
        <v>1</v>
      </c>
      <c r="T33" s="10">
        <v>3</v>
      </c>
      <c r="U33" s="10" t="s">
        <v>17</v>
      </c>
      <c r="V33" s="10" t="s">
        <v>17</v>
      </c>
      <c r="W33" s="10">
        <f t="shared" si="0"/>
        <v>7</v>
      </c>
      <c r="X33" s="10" t="s">
        <v>333</v>
      </c>
    </row>
    <row r="34" spans="1:24" x14ac:dyDescent="0.3">
      <c r="A34" s="9">
        <v>44489</v>
      </c>
      <c r="B34" s="10" t="s">
        <v>234</v>
      </c>
      <c r="C34" s="11">
        <v>18995</v>
      </c>
      <c r="D34" s="10">
        <v>2010</v>
      </c>
      <c r="E34" s="10" t="s">
        <v>128</v>
      </c>
      <c r="F34" s="10" t="s">
        <v>129</v>
      </c>
      <c r="G34" s="10" t="s">
        <v>162</v>
      </c>
      <c r="H34" s="10" t="s">
        <v>171</v>
      </c>
      <c r="I34" s="12">
        <v>61023</v>
      </c>
      <c r="J34" s="10" t="b">
        <v>0</v>
      </c>
      <c r="K34" s="10" t="s">
        <v>36</v>
      </c>
      <c r="L34" s="10" t="s">
        <v>30</v>
      </c>
      <c r="M34" s="10">
        <v>385</v>
      </c>
      <c r="N34" s="10">
        <v>5</v>
      </c>
      <c r="O34" s="10" t="s">
        <v>74</v>
      </c>
      <c r="P34" s="10">
        <v>20</v>
      </c>
      <c r="Q34" s="10" t="s">
        <v>16</v>
      </c>
      <c r="R34" s="10" t="s">
        <v>17</v>
      </c>
      <c r="S34" s="10" t="b">
        <v>0</v>
      </c>
      <c r="T34" s="10">
        <v>2</v>
      </c>
      <c r="U34" s="10" t="s">
        <v>17</v>
      </c>
      <c r="V34" s="10" t="s">
        <v>17</v>
      </c>
      <c r="W34" s="10">
        <f t="shared" si="0"/>
        <v>11</v>
      </c>
      <c r="X34" s="10" t="s">
        <v>337</v>
      </c>
    </row>
    <row r="35" spans="1:24" x14ac:dyDescent="0.3">
      <c r="A35" s="9">
        <v>44489</v>
      </c>
      <c r="B35" s="10" t="s">
        <v>249</v>
      </c>
      <c r="C35" s="11">
        <v>16995</v>
      </c>
      <c r="D35" s="10">
        <v>2000</v>
      </c>
      <c r="E35" s="10" t="s">
        <v>107</v>
      </c>
      <c r="F35" s="10" t="s">
        <v>250</v>
      </c>
      <c r="G35" s="10"/>
      <c r="H35" s="10" t="s">
        <v>171</v>
      </c>
      <c r="I35" s="12">
        <v>99812</v>
      </c>
      <c r="J35" s="10" t="b">
        <v>0</v>
      </c>
      <c r="K35" s="10" t="s">
        <v>36</v>
      </c>
      <c r="L35" s="10" t="s">
        <v>30</v>
      </c>
      <c r="M35" s="10">
        <v>290</v>
      </c>
      <c r="N35" s="10">
        <v>4</v>
      </c>
      <c r="O35" s="10" t="s">
        <v>74</v>
      </c>
      <c r="P35" s="10">
        <v>19</v>
      </c>
      <c r="Q35" s="10" t="s">
        <v>16</v>
      </c>
      <c r="R35" s="10" t="s">
        <v>17</v>
      </c>
      <c r="S35" s="10" t="b">
        <v>0</v>
      </c>
      <c r="T35" s="10">
        <v>4</v>
      </c>
      <c r="U35" s="10" t="s">
        <v>17</v>
      </c>
      <c r="V35" s="10" t="s">
        <v>17</v>
      </c>
      <c r="W35" s="10">
        <f t="shared" si="0"/>
        <v>21</v>
      </c>
      <c r="X35" s="10" t="s">
        <v>333</v>
      </c>
    </row>
    <row r="36" spans="1:24" x14ac:dyDescent="0.3">
      <c r="A36" s="9">
        <v>44489</v>
      </c>
      <c r="B36" s="10" t="s">
        <v>251</v>
      </c>
      <c r="C36" s="11">
        <v>27991</v>
      </c>
      <c r="D36" s="10">
        <v>2010</v>
      </c>
      <c r="E36" s="10" t="s">
        <v>252</v>
      </c>
      <c r="F36" s="10" t="s">
        <v>253</v>
      </c>
      <c r="G36" s="10" t="s">
        <v>29</v>
      </c>
      <c r="H36" s="10" t="s">
        <v>171</v>
      </c>
      <c r="I36" s="12">
        <v>79116</v>
      </c>
      <c r="J36" s="10" t="b">
        <v>0</v>
      </c>
      <c r="K36" s="10" t="s">
        <v>36</v>
      </c>
      <c r="L36" s="10" t="s">
        <v>30</v>
      </c>
      <c r="M36" s="10">
        <v>433</v>
      </c>
      <c r="N36" s="10">
        <v>4.7</v>
      </c>
      <c r="O36" s="10" t="s">
        <v>74</v>
      </c>
      <c r="P36" s="10">
        <v>15</v>
      </c>
      <c r="Q36" s="10" t="s">
        <v>16</v>
      </c>
      <c r="R36" s="10" t="s">
        <v>17</v>
      </c>
      <c r="S36" s="10" t="b">
        <v>0</v>
      </c>
      <c r="T36" s="10">
        <v>2</v>
      </c>
      <c r="U36" s="10" t="s">
        <v>17</v>
      </c>
      <c r="V36" s="10" t="s">
        <v>17</v>
      </c>
      <c r="W36" s="10">
        <f t="shared" si="0"/>
        <v>11</v>
      </c>
      <c r="X36" s="10" t="s">
        <v>336</v>
      </c>
    </row>
    <row r="37" spans="1:24" x14ac:dyDescent="0.3">
      <c r="A37" s="9">
        <v>44489</v>
      </c>
      <c r="B37" s="10" t="s">
        <v>191</v>
      </c>
      <c r="C37" s="11">
        <v>5888</v>
      </c>
      <c r="D37" s="10">
        <v>2003</v>
      </c>
      <c r="E37" s="10" t="s">
        <v>44</v>
      </c>
      <c r="F37" s="10" t="s">
        <v>192</v>
      </c>
      <c r="G37" s="10" t="s">
        <v>193</v>
      </c>
      <c r="H37" s="10" t="s">
        <v>171</v>
      </c>
      <c r="I37" s="12">
        <v>40866</v>
      </c>
      <c r="J37" s="10" t="b">
        <v>0</v>
      </c>
      <c r="K37" s="10" t="s">
        <v>36</v>
      </c>
      <c r="L37" s="10" t="s">
        <v>30</v>
      </c>
      <c r="M37" s="10">
        <v>215</v>
      </c>
      <c r="N37" s="10">
        <v>3.2</v>
      </c>
      <c r="O37" s="10" t="s">
        <v>58</v>
      </c>
      <c r="P37" s="10">
        <v>20</v>
      </c>
      <c r="Q37" s="10" t="s">
        <v>16</v>
      </c>
      <c r="R37" s="10" t="s">
        <v>17</v>
      </c>
      <c r="S37" s="10" t="b">
        <v>0</v>
      </c>
      <c r="T37" s="10">
        <v>1</v>
      </c>
      <c r="U37" s="10" t="s">
        <v>17</v>
      </c>
      <c r="V37" s="10" t="s">
        <v>17</v>
      </c>
      <c r="W37" s="10">
        <f t="shared" si="0"/>
        <v>18</v>
      </c>
      <c r="X37" s="10" t="s">
        <v>334</v>
      </c>
    </row>
    <row r="38" spans="1:24" x14ac:dyDescent="0.3">
      <c r="A38" s="9">
        <v>44489</v>
      </c>
      <c r="B38" s="10" t="s">
        <v>213</v>
      </c>
      <c r="C38" s="11">
        <v>14300</v>
      </c>
      <c r="D38" s="10">
        <v>2013</v>
      </c>
      <c r="E38" s="10" t="s">
        <v>44</v>
      </c>
      <c r="F38" s="10" t="s">
        <v>214</v>
      </c>
      <c r="G38" s="10" t="s">
        <v>215</v>
      </c>
      <c r="H38" s="10" t="s">
        <v>171</v>
      </c>
      <c r="I38" s="12">
        <v>66555</v>
      </c>
      <c r="J38" s="10" t="b">
        <v>0</v>
      </c>
      <c r="K38" s="10" t="s">
        <v>36</v>
      </c>
      <c r="L38" s="10" t="s">
        <v>30</v>
      </c>
      <c r="M38" s="10">
        <v>201</v>
      </c>
      <c r="N38" s="10">
        <v>1.8</v>
      </c>
      <c r="O38" s="10" t="s">
        <v>13</v>
      </c>
      <c r="P38" s="10">
        <v>26</v>
      </c>
      <c r="Q38" s="10" t="s">
        <v>16</v>
      </c>
      <c r="R38" s="10" t="s">
        <v>17</v>
      </c>
      <c r="S38" s="10" t="b">
        <v>1</v>
      </c>
      <c r="T38" s="10">
        <v>6</v>
      </c>
      <c r="U38" s="10" t="s">
        <v>17</v>
      </c>
      <c r="V38" s="10" t="s">
        <v>17</v>
      </c>
      <c r="W38" s="10">
        <f t="shared" si="0"/>
        <v>8</v>
      </c>
      <c r="X38" s="10" t="s">
        <v>334</v>
      </c>
    </row>
    <row r="39" spans="1:24" x14ac:dyDescent="0.3">
      <c r="A39" s="9">
        <v>44489</v>
      </c>
      <c r="B39" s="10" t="s">
        <v>244</v>
      </c>
      <c r="C39" s="11">
        <v>14998</v>
      </c>
      <c r="D39" s="10">
        <v>2011</v>
      </c>
      <c r="E39" s="10" t="s">
        <v>44</v>
      </c>
      <c r="F39" s="10" t="s">
        <v>154</v>
      </c>
      <c r="G39" s="10" t="s">
        <v>245</v>
      </c>
      <c r="H39" s="10" t="s">
        <v>171</v>
      </c>
      <c r="I39" s="12">
        <v>98027</v>
      </c>
      <c r="J39" s="10" t="b">
        <v>0</v>
      </c>
      <c r="K39" s="10" t="s">
        <v>36</v>
      </c>
      <c r="L39" s="10" t="s">
        <v>30</v>
      </c>
      <c r="M39" s="10">
        <v>382</v>
      </c>
      <c r="N39" s="10">
        <v>5.5</v>
      </c>
      <c r="O39" s="10" t="s">
        <v>74</v>
      </c>
      <c r="P39" s="10">
        <v>19</v>
      </c>
      <c r="Q39" s="10" t="s">
        <v>16</v>
      </c>
      <c r="R39" s="10" t="s">
        <v>17</v>
      </c>
      <c r="S39" s="10" t="b">
        <v>0</v>
      </c>
      <c r="T39" s="10">
        <v>3</v>
      </c>
      <c r="U39" s="10" t="s">
        <v>17</v>
      </c>
      <c r="V39" s="10" t="s">
        <v>17</v>
      </c>
      <c r="W39" s="10">
        <f t="shared" si="0"/>
        <v>10</v>
      </c>
      <c r="X39" s="10" t="s">
        <v>334</v>
      </c>
    </row>
    <row r="40" spans="1:24" x14ac:dyDescent="0.3">
      <c r="A40" s="9">
        <v>44489</v>
      </c>
      <c r="B40" s="10" t="s">
        <v>223</v>
      </c>
      <c r="C40" s="11">
        <v>16495</v>
      </c>
      <c r="D40" s="10">
        <v>2014</v>
      </c>
      <c r="E40" s="10" t="s">
        <v>5</v>
      </c>
      <c r="F40" s="10" t="s">
        <v>110</v>
      </c>
      <c r="G40" s="10" t="s">
        <v>57</v>
      </c>
      <c r="H40" s="10" t="s">
        <v>171</v>
      </c>
      <c r="I40" s="12">
        <v>117992</v>
      </c>
      <c r="J40" s="10" t="b">
        <v>0</v>
      </c>
      <c r="K40" s="10" t="s">
        <v>36</v>
      </c>
      <c r="L40" s="10" t="s">
        <v>30</v>
      </c>
      <c r="M40" s="10">
        <v>332</v>
      </c>
      <c r="N40" s="10">
        <v>3.7</v>
      </c>
      <c r="O40" s="10" t="s">
        <v>58</v>
      </c>
      <c r="P40" s="10">
        <v>22</v>
      </c>
      <c r="Q40" s="10" t="s">
        <v>16</v>
      </c>
      <c r="R40" s="10" t="s">
        <v>17</v>
      </c>
      <c r="S40" s="10" t="b">
        <v>0</v>
      </c>
      <c r="T40" s="10">
        <v>3</v>
      </c>
      <c r="U40" s="10" t="s">
        <v>17</v>
      </c>
      <c r="V40" s="10" t="s">
        <v>17</v>
      </c>
      <c r="W40" s="10">
        <f t="shared" si="0"/>
        <v>7</v>
      </c>
      <c r="X40" s="10" t="s">
        <v>333</v>
      </c>
    </row>
    <row r="41" spans="1:24" x14ac:dyDescent="0.3">
      <c r="A41" s="9">
        <v>44489</v>
      </c>
      <c r="B41" s="10" t="s">
        <v>242</v>
      </c>
      <c r="C41" s="11">
        <v>19999</v>
      </c>
      <c r="D41" s="10">
        <v>2004</v>
      </c>
      <c r="E41" s="10" t="s">
        <v>164</v>
      </c>
      <c r="F41" s="10" t="s">
        <v>243</v>
      </c>
      <c r="G41" s="10"/>
      <c r="H41" s="10" t="s">
        <v>171</v>
      </c>
      <c r="I41" s="12">
        <v>49100</v>
      </c>
      <c r="J41" s="10" t="b">
        <v>0</v>
      </c>
      <c r="K41" s="10" t="s">
        <v>36</v>
      </c>
      <c r="L41" s="10" t="s">
        <v>30</v>
      </c>
      <c r="M41" s="10">
        <v>350</v>
      </c>
      <c r="N41" s="10">
        <v>5.7</v>
      </c>
      <c r="O41" s="10" t="s">
        <v>74</v>
      </c>
      <c r="P41" s="10">
        <v>17</v>
      </c>
      <c r="Q41" s="10" t="s">
        <v>16</v>
      </c>
      <c r="R41" s="10" t="s">
        <v>17</v>
      </c>
      <c r="S41" s="10" t="b">
        <v>0</v>
      </c>
      <c r="T41" s="10">
        <v>4</v>
      </c>
      <c r="U41" s="10" t="s">
        <v>17</v>
      </c>
      <c r="V41" s="10" t="s">
        <v>17</v>
      </c>
      <c r="W41" s="10">
        <f t="shared" si="0"/>
        <v>17</v>
      </c>
      <c r="X41" s="10" t="s">
        <v>335</v>
      </c>
    </row>
    <row r="42" spans="1:24" x14ac:dyDescent="0.3">
      <c r="A42" s="9">
        <v>44489</v>
      </c>
      <c r="B42" s="10" t="s">
        <v>174</v>
      </c>
      <c r="C42" s="11">
        <v>4900</v>
      </c>
      <c r="D42" s="10">
        <v>2008</v>
      </c>
      <c r="E42" s="10" t="s">
        <v>175</v>
      </c>
      <c r="F42" s="10" t="s">
        <v>176</v>
      </c>
      <c r="G42" s="10"/>
      <c r="H42" s="10" t="s">
        <v>171</v>
      </c>
      <c r="I42" s="12">
        <v>165200</v>
      </c>
      <c r="J42" s="10" t="b">
        <v>0</v>
      </c>
      <c r="K42" s="10" t="s">
        <v>8</v>
      </c>
      <c r="L42" s="10" t="s">
        <v>30</v>
      </c>
      <c r="M42" s="10">
        <v>161</v>
      </c>
      <c r="N42" s="10">
        <v>2.4</v>
      </c>
      <c r="O42" s="10" t="s">
        <v>13</v>
      </c>
      <c r="P42" s="10">
        <v>25</v>
      </c>
      <c r="Q42" s="10" t="s">
        <v>16</v>
      </c>
      <c r="R42" s="10" t="s">
        <v>17</v>
      </c>
      <c r="S42" s="10" t="b">
        <v>1</v>
      </c>
      <c r="T42" s="10">
        <v>3</v>
      </c>
      <c r="U42" s="10" t="s">
        <v>17</v>
      </c>
      <c r="V42" s="10" t="s">
        <v>17</v>
      </c>
      <c r="W42" s="10">
        <f t="shared" si="0"/>
        <v>13</v>
      </c>
      <c r="X42" s="10" t="s">
        <v>333</v>
      </c>
    </row>
    <row r="43" spans="1:24" x14ac:dyDescent="0.3">
      <c r="A43" s="9">
        <v>44489</v>
      </c>
      <c r="B43" s="10" t="s">
        <v>206</v>
      </c>
      <c r="C43" s="11">
        <v>17493</v>
      </c>
      <c r="D43" s="10">
        <v>2014</v>
      </c>
      <c r="E43" s="10" t="s">
        <v>175</v>
      </c>
      <c r="F43" s="10" t="s">
        <v>207</v>
      </c>
      <c r="G43" s="10" t="s">
        <v>208</v>
      </c>
      <c r="H43" s="10" t="s">
        <v>171</v>
      </c>
      <c r="I43" s="12">
        <v>84878</v>
      </c>
      <c r="J43" s="10" t="b">
        <v>1</v>
      </c>
      <c r="K43" s="10" t="s">
        <v>36</v>
      </c>
      <c r="L43" s="10" t="s">
        <v>30</v>
      </c>
      <c r="M43" s="10">
        <v>200</v>
      </c>
      <c r="N43" s="10">
        <v>2</v>
      </c>
      <c r="O43" s="10" t="s">
        <v>205</v>
      </c>
      <c r="P43" s="10">
        <v>26</v>
      </c>
      <c r="Q43" s="10" t="s">
        <v>16</v>
      </c>
      <c r="R43" s="10" t="s">
        <v>17</v>
      </c>
      <c r="S43" s="10" t="b">
        <v>1</v>
      </c>
      <c r="T43" s="10">
        <v>1</v>
      </c>
      <c r="U43" s="10" t="s">
        <v>17</v>
      </c>
      <c r="V43" s="10" t="s">
        <v>17</v>
      </c>
      <c r="W43" s="10">
        <f t="shared" si="0"/>
        <v>7</v>
      </c>
      <c r="X43" s="10" t="s">
        <v>333</v>
      </c>
    </row>
    <row r="44" spans="1:24" x14ac:dyDescent="0.3">
      <c r="A44" s="9">
        <v>44489</v>
      </c>
      <c r="B44" s="10" t="s">
        <v>179</v>
      </c>
      <c r="C44" s="11">
        <v>5777</v>
      </c>
      <c r="D44" s="10">
        <v>2001</v>
      </c>
      <c r="E44" s="10" t="s">
        <v>68</v>
      </c>
      <c r="F44" s="10" t="s">
        <v>180</v>
      </c>
      <c r="G44" s="10" t="s">
        <v>181</v>
      </c>
      <c r="H44" s="10" t="s">
        <v>171</v>
      </c>
      <c r="I44" s="12">
        <v>178000</v>
      </c>
      <c r="J44" s="10" t="b">
        <v>0</v>
      </c>
      <c r="K44" s="10" t="s">
        <v>8</v>
      </c>
      <c r="L44" s="10" t="s">
        <v>30</v>
      </c>
      <c r="M44" s="10">
        <v>140</v>
      </c>
      <c r="N44" s="10">
        <v>1.8</v>
      </c>
      <c r="O44" s="10" t="s">
        <v>13</v>
      </c>
      <c r="P44" s="10">
        <v>28</v>
      </c>
      <c r="Q44" s="10" t="s">
        <v>16</v>
      </c>
      <c r="R44" s="10" t="s">
        <v>17</v>
      </c>
      <c r="S44" s="10" t="b">
        <v>0</v>
      </c>
      <c r="T44" s="10">
        <v>2</v>
      </c>
      <c r="U44" s="10" t="s">
        <v>17</v>
      </c>
      <c r="V44" s="10" t="s">
        <v>17</v>
      </c>
      <c r="W44" s="10">
        <f t="shared" si="0"/>
        <v>20</v>
      </c>
      <c r="X44" s="10" t="s">
        <v>333</v>
      </c>
    </row>
    <row r="45" spans="1:24" x14ac:dyDescent="0.3">
      <c r="I45" s="2"/>
    </row>
    <row r="46" spans="1:24" x14ac:dyDescent="0.3">
      <c r="I46" s="2"/>
    </row>
    <row r="47" spans="1:24" x14ac:dyDescent="0.3">
      <c r="I47" s="2"/>
    </row>
    <row r="48" spans="1:24" x14ac:dyDescent="0.3">
      <c r="I48" s="2"/>
    </row>
    <row r="49" spans="9:9" x14ac:dyDescent="0.3">
      <c r="I49" s="2"/>
    </row>
    <row r="50" spans="9:9" x14ac:dyDescent="0.3">
      <c r="I50" s="2"/>
    </row>
    <row r="51" spans="9:9" x14ac:dyDescent="0.3">
      <c r="I51" s="2"/>
    </row>
    <row r="52" spans="9:9" x14ac:dyDescent="0.3">
      <c r="I52" s="2"/>
    </row>
    <row r="53" spans="9:9" x14ac:dyDescent="0.3">
      <c r="I53" s="2"/>
    </row>
    <row r="54" spans="9:9" x14ac:dyDescent="0.3">
      <c r="I54" s="2"/>
    </row>
    <row r="55" spans="9:9" x14ac:dyDescent="0.3">
      <c r="I55" s="2"/>
    </row>
    <row r="56" spans="9:9" x14ac:dyDescent="0.3">
      <c r="I56" s="2"/>
    </row>
    <row r="57" spans="9:9" x14ac:dyDescent="0.3">
      <c r="I57" s="2"/>
    </row>
  </sheetData>
  <sortState xmlns:xlrd2="http://schemas.microsoft.com/office/spreadsheetml/2017/richdata2" ref="A2:X70">
    <sortCondition ref="E1:E70"/>
  </sortState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5EEBD-2CAB-4268-A2D8-7A5DFC327BDF}">
  <dimension ref="A1:X55"/>
  <sheetViews>
    <sheetView workbookViewId="0">
      <pane xSplit="8" ySplit="1" topLeftCell="I2" activePane="bottomRight" state="frozen"/>
      <selection pane="topRight" activeCell="H1" sqref="H1"/>
      <selection pane="bottomLeft" activeCell="A2" sqref="A2"/>
      <selection pane="bottomRight" activeCell="A2" sqref="A2:X12"/>
    </sheetView>
  </sheetViews>
  <sheetFormatPr defaultRowHeight="14.4" x14ac:dyDescent="0.3"/>
  <cols>
    <col min="1" max="1" width="10.5546875" bestFit="1" customWidth="1"/>
    <col min="3" max="3" width="8.5546875" style="3" bestFit="1" customWidth="1"/>
    <col min="9" max="9" width="9.5546875" style="6" bestFit="1" customWidth="1"/>
    <col min="12" max="12" width="4.44140625" bestFit="1" customWidth="1"/>
    <col min="13" max="13" width="5" bestFit="1" customWidth="1"/>
    <col min="15" max="15" width="6.6640625" bestFit="1" customWidth="1"/>
    <col min="17" max="17" width="5.33203125" bestFit="1" customWidth="1"/>
  </cols>
  <sheetData>
    <row r="1" spans="1:24" s="1" customFormat="1" x14ac:dyDescent="0.3">
      <c r="A1" s="1" t="s">
        <v>166</v>
      </c>
      <c r="B1" s="1" t="s">
        <v>0</v>
      </c>
      <c r="C1" s="7" t="s">
        <v>331</v>
      </c>
      <c r="D1" s="1" t="s">
        <v>2</v>
      </c>
      <c r="E1" s="1" t="s">
        <v>1</v>
      </c>
      <c r="F1" s="1" t="s">
        <v>3</v>
      </c>
      <c r="G1" s="1" t="s">
        <v>4</v>
      </c>
      <c r="H1" s="1" t="s">
        <v>18</v>
      </c>
      <c r="I1" s="5" t="s">
        <v>6</v>
      </c>
      <c r="J1" s="1" t="s">
        <v>330</v>
      </c>
      <c r="K1" s="1" t="s">
        <v>7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14</v>
      </c>
      <c r="Q1" s="1" t="s">
        <v>15</v>
      </c>
      <c r="R1" s="1" t="s">
        <v>80</v>
      </c>
      <c r="S1" s="1" t="s">
        <v>328</v>
      </c>
      <c r="T1" s="1" t="s">
        <v>23</v>
      </c>
      <c r="U1" s="1" t="s">
        <v>24</v>
      </c>
      <c r="V1" s="1" t="s">
        <v>31</v>
      </c>
      <c r="W1" s="1" t="s">
        <v>329</v>
      </c>
      <c r="X1" s="1" t="s">
        <v>332</v>
      </c>
    </row>
    <row r="2" spans="1:24" x14ac:dyDescent="0.3">
      <c r="A2" s="9">
        <v>44490</v>
      </c>
      <c r="B2" s="10" t="s">
        <v>368</v>
      </c>
      <c r="C2" s="11">
        <v>6499</v>
      </c>
      <c r="D2" s="10">
        <v>2008</v>
      </c>
      <c r="E2" s="10" t="s">
        <v>20</v>
      </c>
      <c r="F2" s="10" t="s">
        <v>369</v>
      </c>
      <c r="G2" s="10" t="s">
        <v>204</v>
      </c>
      <c r="H2" s="10" t="s">
        <v>370</v>
      </c>
      <c r="I2" s="21">
        <v>121256</v>
      </c>
      <c r="J2" s="10" t="b">
        <v>0</v>
      </c>
      <c r="K2" s="10" t="s">
        <v>8</v>
      </c>
      <c r="L2" s="10" t="s">
        <v>30</v>
      </c>
      <c r="M2" s="10">
        <v>240</v>
      </c>
      <c r="N2" s="10">
        <v>4</v>
      </c>
      <c r="O2" s="10" t="s">
        <v>58</v>
      </c>
      <c r="P2" s="10">
        <v>19</v>
      </c>
      <c r="Q2" s="10" t="s">
        <v>16</v>
      </c>
      <c r="R2" s="10" t="s">
        <v>17</v>
      </c>
      <c r="S2" s="10" t="b">
        <v>0</v>
      </c>
      <c r="T2" s="10">
        <v>3</v>
      </c>
      <c r="U2" s="10" t="s">
        <v>17</v>
      </c>
      <c r="V2" s="10" t="s">
        <v>17</v>
      </c>
      <c r="W2" s="10">
        <f>2021-D2</f>
        <v>13</v>
      </c>
      <c r="X2" s="10" t="s">
        <v>335</v>
      </c>
    </row>
    <row r="3" spans="1:24" x14ac:dyDescent="0.3">
      <c r="A3" s="9">
        <v>44490</v>
      </c>
      <c r="B3" s="10" t="s">
        <v>371</v>
      </c>
      <c r="C3" s="11">
        <v>17400</v>
      </c>
      <c r="D3" s="10">
        <v>2018</v>
      </c>
      <c r="E3" s="10" t="s">
        <v>20</v>
      </c>
      <c r="F3" s="10" t="s">
        <v>372</v>
      </c>
      <c r="G3" s="10" t="s">
        <v>373</v>
      </c>
      <c r="H3" s="10" t="s">
        <v>370</v>
      </c>
      <c r="I3" s="21">
        <v>106759</v>
      </c>
      <c r="J3" s="10" t="b">
        <v>0</v>
      </c>
      <c r="K3" s="10" t="s">
        <v>8</v>
      </c>
      <c r="L3" s="10" t="s">
        <v>30</v>
      </c>
      <c r="M3" s="10">
        <v>287</v>
      </c>
      <c r="N3" s="10">
        <v>3.6</v>
      </c>
      <c r="O3" s="10" t="s">
        <v>58</v>
      </c>
      <c r="P3" s="10">
        <v>23</v>
      </c>
      <c r="Q3" s="10" t="s">
        <v>16</v>
      </c>
      <c r="R3" s="10" t="s">
        <v>17</v>
      </c>
      <c r="S3" s="10" t="b">
        <v>0</v>
      </c>
      <c r="T3" s="10">
        <v>1</v>
      </c>
      <c r="U3" s="10" t="s">
        <v>17</v>
      </c>
      <c r="V3" s="10" t="s">
        <v>17</v>
      </c>
      <c r="W3" s="10">
        <f t="shared" ref="W3:W12" si="0">2021-D3</f>
        <v>3</v>
      </c>
      <c r="X3" s="10" t="s">
        <v>335</v>
      </c>
    </row>
    <row r="4" spans="1:24" x14ac:dyDescent="0.3">
      <c r="A4" s="9">
        <v>44490</v>
      </c>
      <c r="B4" s="10" t="s">
        <v>375</v>
      </c>
      <c r="C4" s="11">
        <v>17495</v>
      </c>
      <c r="D4" s="10">
        <v>2014</v>
      </c>
      <c r="E4" s="10" t="s">
        <v>168</v>
      </c>
      <c r="F4" s="10" t="s">
        <v>374</v>
      </c>
      <c r="G4" s="10" t="s">
        <v>57</v>
      </c>
      <c r="H4" s="10" t="s">
        <v>370</v>
      </c>
      <c r="I4" s="21">
        <v>135863</v>
      </c>
      <c r="J4" s="10" t="b">
        <v>0</v>
      </c>
      <c r="K4" s="10" t="s">
        <v>8</v>
      </c>
      <c r="L4" s="10" t="s">
        <v>30</v>
      </c>
      <c r="M4" s="10">
        <v>248</v>
      </c>
      <c r="N4" s="10">
        <v>3.5</v>
      </c>
      <c r="O4" s="10" t="s">
        <v>58</v>
      </c>
      <c r="P4" s="10">
        <v>23</v>
      </c>
      <c r="Q4" s="10" t="s">
        <v>16</v>
      </c>
      <c r="R4" s="10" t="s">
        <v>17</v>
      </c>
      <c r="S4" s="10" t="b">
        <v>1</v>
      </c>
      <c r="T4" s="10">
        <v>1</v>
      </c>
      <c r="U4" s="10" t="s">
        <v>17</v>
      </c>
      <c r="V4" s="10" t="s">
        <v>17</v>
      </c>
      <c r="W4" s="10">
        <f t="shared" si="0"/>
        <v>7</v>
      </c>
      <c r="X4" s="10" t="s">
        <v>333</v>
      </c>
    </row>
    <row r="5" spans="1:24" x14ac:dyDescent="0.3">
      <c r="A5" s="9">
        <v>44490</v>
      </c>
      <c r="B5" s="10" t="s">
        <v>376</v>
      </c>
      <c r="C5" s="11">
        <v>9995</v>
      </c>
      <c r="D5" s="10">
        <v>2012</v>
      </c>
      <c r="E5" s="10" t="s">
        <v>92</v>
      </c>
      <c r="F5" s="10" t="s">
        <v>377</v>
      </c>
      <c r="G5" s="10" t="s">
        <v>141</v>
      </c>
      <c r="H5" s="10" t="s">
        <v>370</v>
      </c>
      <c r="I5" s="21">
        <v>98108</v>
      </c>
      <c r="J5" s="10" t="b">
        <v>0</v>
      </c>
      <c r="K5" s="10" t="s">
        <v>8</v>
      </c>
      <c r="L5" s="10" t="s">
        <v>30</v>
      </c>
      <c r="M5" s="10">
        <v>157</v>
      </c>
      <c r="N5" s="10">
        <v>2.5</v>
      </c>
      <c r="O5" s="10" t="s">
        <v>13</v>
      </c>
      <c r="P5" s="10">
        <v>24</v>
      </c>
      <c r="Q5" s="10" t="s">
        <v>16</v>
      </c>
      <c r="R5" s="10" t="s">
        <v>17</v>
      </c>
      <c r="S5" s="10" t="b">
        <v>1</v>
      </c>
      <c r="T5" s="10">
        <v>2</v>
      </c>
      <c r="U5" s="10" t="s">
        <v>17</v>
      </c>
      <c r="V5" s="10" t="s">
        <v>17</v>
      </c>
      <c r="W5" s="10">
        <f t="shared" si="0"/>
        <v>9</v>
      </c>
      <c r="X5" s="10" t="s">
        <v>333</v>
      </c>
    </row>
    <row r="6" spans="1:24" x14ac:dyDescent="0.3">
      <c r="A6" s="9">
        <v>44490</v>
      </c>
      <c r="B6" s="10" t="s">
        <v>378</v>
      </c>
      <c r="C6" s="11">
        <v>6000</v>
      </c>
      <c r="D6" s="10">
        <v>2010</v>
      </c>
      <c r="E6" s="10" t="s">
        <v>94</v>
      </c>
      <c r="F6" s="10" t="s">
        <v>379</v>
      </c>
      <c r="G6" s="10" t="s">
        <v>294</v>
      </c>
      <c r="H6" s="10" t="s">
        <v>370</v>
      </c>
      <c r="I6" s="21">
        <v>152500</v>
      </c>
      <c r="J6" s="10" t="b">
        <v>0</v>
      </c>
      <c r="K6" s="10" t="s">
        <v>8</v>
      </c>
      <c r="L6" s="10" t="s">
        <v>30</v>
      </c>
      <c r="M6" s="10">
        <v>197</v>
      </c>
      <c r="N6" s="10">
        <v>3.8</v>
      </c>
      <c r="O6" s="10" t="s">
        <v>58</v>
      </c>
      <c r="P6" s="10">
        <v>19</v>
      </c>
      <c r="Q6" s="10" t="s">
        <v>16</v>
      </c>
      <c r="R6" s="10" t="s">
        <v>17</v>
      </c>
      <c r="S6" s="10" t="b">
        <v>1</v>
      </c>
      <c r="T6" s="10">
        <v>4</v>
      </c>
      <c r="U6" s="10" t="s">
        <v>17</v>
      </c>
      <c r="V6" s="10" t="s">
        <v>17</v>
      </c>
      <c r="W6" s="10">
        <f t="shared" si="0"/>
        <v>11</v>
      </c>
      <c r="X6" s="10" t="s">
        <v>334</v>
      </c>
    </row>
    <row r="7" spans="1:24" x14ac:dyDescent="0.3">
      <c r="A7" s="9">
        <v>44490</v>
      </c>
      <c r="B7" s="10" t="s">
        <v>380</v>
      </c>
      <c r="C7" s="11">
        <v>4495</v>
      </c>
      <c r="D7" s="10">
        <v>2005</v>
      </c>
      <c r="E7" s="10" t="s">
        <v>92</v>
      </c>
      <c r="F7" s="10" t="s">
        <v>381</v>
      </c>
      <c r="G7" s="10" t="s">
        <v>170</v>
      </c>
      <c r="H7" s="10" t="s">
        <v>370</v>
      </c>
      <c r="I7" s="21">
        <v>157888</v>
      </c>
      <c r="J7" s="10" t="b">
        <v>0</v>
      </c>
      <c r="K7" s="10" t="s">
        <v>8</v>
      </c>
      <c r="L7" s="10" t="s">
        <v>30</v>
      </c>
      <c r="M7" s="10">
        <v>200</v>
      </c>
      <c r="N7" s="10">
        <v>3</v>
      </c>
      <c r="O7" s="10" t="s">
        <v>58</v>
      </c>
      <c r="P7" s="10">
        <v>19</v>
      </c>
      <c r="Q7" s="10" t="s">
        <v>16</v>
      </c>
      <c r="R7" s="10" t="s">
        <v>17</v>
      </c>
      <c r="S7" s="10" t="b">
        <v>0</v>
      </c>
      <c r="T7" s="10">
        <v>3</v>
      </c>
      <c r="U7" s="10" t="s">
        <v>17</v>
      </c>
      <c r="V7" s="10" t="s">
        <v>17</v>
      </c>
      <c r="W7" s="10">
        <f t="shared" si="0"/>
        <v>16</v>
      </c>
      <c r="X7" s="10" t="s">
        <v>333</v>
      </c>
    </row>
    <row r="8" spans="1:24" x14ac:dyDescent="0.3">
      <c r="A8" s="9">
        <v>44490</v>
      </c>
      <c r="B8" s="10" t="s">
        <v>382</v>
      </c>
      <c r="C8" s="11">
        <v>7495</v>
      </c>
      <c r="D8" s="10">
        <v>2010</v>
      </c>
      <c r="E8" s="10" t="s">
        <v>228</v>
      </c>
      <c r="F8" s="10" t="s">
        <v>383</v>
      </c>
      <c r="G8" s="10" t="s">
        <v>384</v>
      </c>
      <c r="H8" s="10" t="s">
        <v>370</v>
      </c>
      <c r="I8" s="21">
        <v>114152</v>
      </c>
      <c r="J8" s="10" t="b">
        <v>0</v>
      </c>
      <c r="K8" s="10" t="s">
        <v>8</v>
      </c>
      <c r="L8" s="10" t="s">
        <v>30</v>
      </c>
      <c r="M8" s="10">
        <v>251</v>
      </c>
      <c r="N8" s="10">
        <v>4</v>
      </c>
      <c r="O8" s="10" t="s">
        <v>58</v>
      </c>
      <c r="P8" s="10">
        <v>21</v>
      </c>
      <c r="Q8" s="10" t="s">
        <v>16</v>
      </c>
      <c r="R8" s="10" t="s">
        <v>25</v>
      </c>
      <c r="S8" s="10" t="b">
        <v>1</v>
      </c>
      <c r="T8" s="10">
        <v>1</v>
      </c>
      <c r="U8" s="10" t="s">
        <v>17</v>
      </c>
      <c r="V8" s="10" t="s">
        <v>17</v>
      </c>
      <c r="W8" s="10">
        <f t="shared" si="0"/>
        <v>11</v>
      </c>
      <c r="X8" s="10" t="s">
        <v>335</v>
      </c>
    </row>
    <row r="9" spans="1:24" x14ac:dyDescent="0.3">
      <c r="A9" s="9">
        <v>44490</v>
      </c>
      <c r="B9" s="10" t="s">
        <v>385</v>
      </c>
      <c r="C9" s="11">
        <v>7495</v>
      </c>
      <c r="D9" s="10">
        <v>2007</v>
      </c>
      <c r="E9" s="10" t="s">
        <v>76</v>
      </c>
      <c r="F9" s="10" t="s">
        <v>386</v>
      </c>
      <c r="G9" s="10" t="s">
        <v>387</v>
      </c>
      <c r="H9" s="10" t="s">
        <v>370</v>
      </c>
      <c r="I9" s="21">
        <v>111561</v>
      </c>
      <c r="J9" s="10" t="b">
        <v>0</v>
      </c>
      <c r="K9" s="10" t="s">
        <v>8</v>
      </c>
      <c r="L9" s="10" t="s">
        <v>30</v>
      </c>
      <c r="M9" s="10">
        <v>240</v>
      </c>
      <c r="N9" s="10">
        <v>3.9</v>
      </c>
      <c r="O9" s="10" t="s">
        <v>58</v>
      </c>
      <c r="P9" s="10">
        <v>19</v>
      </c>
      <c r="Q9" s="10" t="s">
        <v>16</v>
      </c>
      <c r="R9" s="10" t="s">
        <v>17</v>
      </c>
      <c r="S9" s="10" t="b">
        <v>0</v>
      </c>
      <c r="T9" s="10">
        <v>4</v>
      </c>
      <c r="U9" s="10" t="s">
        <v>25</v>
      </c>
      <c r="V9" s="10" t="s">
        <v>17</v>
      </c>
      <c r="W9" s="10">
        <f t="shared" si="0"/>
        <v>14</v>
      </c>
      <c r="X9" s="10" t="s">
        <v>335</v>
      </c>
    </row>
    <row r="10" spans="1:24" x14ac:dyDescent="0.3">
      <c r="A10" s="9">
        <v>44490</v>
      </c>
      <c r="B10" s="10" t="s">
        <v>388</v>
      </c>
      <c r="C10" s="11">
        <v>13000</v>
      </c>
      <c r="D10" s="10">
        <v>2013</v>
      </c>
      <c r="E10" s="10" t="s">
        <v>168</v>
      </c>
      <c r="F10" s="10" t="s">
        <v>374</v>
      </c>
      <c r="G10" s="10" t="s">
        <v>287</v>
      </c>
      <c r="H10" s="10" t="s">
        <v>370</v>
      </c>
      <c r="I10" s="21">
        <v>203497</v>
      </c>
      <c r="J10" s="10" t="b">
        <v>0</v>
      </c>
      <c r="K10" s="10" t="s">
        <v>8</v>
      </c>
      <c r="L10" s="10" t="s">
        <v>30</v>
      </c>
      <c r="M10" s="10">
        <v>248</v>
      </c>
      <c r="N10" s="10">
        <v>3.5</v>
      </c>
      <c r="O10" s="10" t="s">
        <v>58</v>
      </c>
      <c r="P10" s="10">
        <v>22</v>
      </c>
      <c r="Q10" s="10" t="s">
        <v>16</v>
      </c>
      <c r="R10" s="10" t="s">
        <v>17</v>
      </c>
      <c r="S10" s="10" t="b">
        <v>1</v>
      </c>
      <c r="T10" s="10">
        <v>2</v>
      </c>
      <c r="U10" s="10" t="s">
        <v>17</v>
      </c>
      <c r="V10" s="10" t="s">
        <v>25</v>
      </c>
      <c r="W10" s="10">
        <f t="shared" si="0"/>
        <v>8</v>
      </c>
      <c r="X10" s="10" t="s">
        <v>333</v>
      </c>
    </row>
    <row r="11" spans="1:24" x14ac:dyDescent="0.3">
      <c r="A11" s="9">
        <v>44490</v>
      </c>
      <c r="B11" s="10" t="s">
        <v>389</v>
      </c>
      <c r="C11" s="11">
        <v>12000</v>
      </c>
      <c r="D11" s="10">
        <v>2012</v>
      </c>
      <c r="E11" s="10" t="s">
        <v>168</v>
      </c>
      <c r="F11" s="10" t="s">
        <v>374</v>
      </c>
      <c r="G11" s="10" t="s">
        <v>287</v>
      </c>
      <c r="H11" s="10" t="s">
        <v>370</v>
      </c>
      <c r="I11" s="21">
        <v>810333</v>
      </c>
      <c r="J11" s="10" t="b">
        <v>0</v>
      </c>
      <c r="K11" s="10" t="s">
        <v>8</v>
      </c>
      <c r="L11" s="10" t="s">
        <v>30</v>
      </c>
      <c r="M11" s="10">
        <v>248</v>
      </c>
      <c r="N11" s="10">
        <v>3.5</v>
      </c>
      <c r="O11" s="10" t="s">
        <v>58</v>
      </c>
      <c r="P11" s="10">
        <v>22</v>
      </c>
      <c r="Q11" s="10" t="s">
        <v>16</v>
      </c>
      <c r="R11" s="10" t="s">
        <v>17</v>
      </c>
      <c r="S11" s="10" t="b">
        <v>1</v>
      </c>
      <c r="T11" s="10">
        <v>3</v>
      </c>
      <c r="U11" s="10" t="s">
        <v>17</v>
      </c>
      <c r="V11" s="10" t="s">
        <v>17</v>
      </c>
      <c r="W11" s="10">
        <f t="shared" si="0"/>
        <v>9</v>
      </c>
      <c r="X11" s="10" t="s">
        <v>333</v>
      </c>
    </row>
    <row r="12" spans="1:24" x14ac:dyDescent="0.3">
      <c r="A12" s="9">
        <v>44490</v>
      </c>
      <c r="B12" s="10" t="s">
        <v>390</v>
      </c>
      <c r="C12" s="11">
        <v>19999</v>
      </c>
      <c r="D12" s="10">
        <v>2015</v>
      </c>
      <c r="E12" s="10" t="s">
        <v>68</v>
      </c>
      <c r="F12" s="10" t="s">
        <v>391</v>
      </c>
      <c r="G12" s="10" t="s">
        <v>392</v>
      </c>
      <c r="H12" s="10" t="s">
        <v>370</v>
      </c>
      <c r="I12" s="21">
        <v>75120</v>
      </c>
      <c r="J12" s="10" t="b">
        <v>0</v>
      </c>
      <c r="K12" s="10" t="s">
        <v>8</v>
      </c>
      <c r="L12" s="10" t="s">
        <v>30</v>
      </c>
      <c r="M12" s="10">
        <v>266</v>
      </c>
      <c r="N12" s="10">
        <v>3.5</v>
      </c>
      <c r="O12" s="10" t="s">
        <v>58</v>
      </c>
      <c r="P12" s="10">
        <v>21</v>
      </c>
      <c r="Q12" s="10" t="s">
        <v>16</v>
      </c>
      <c r="R12" s="10" t="s">
        <v>17</v>
      </c>
      <c r="S12" s="10" t="b">
        <v>1</v>
      </c>
      <c r="T12" s="10">
        <v>1</v>
      </c>
      <c r="U12" s="10" t="s">
        <v>17</v>
      </c>
      <c r="V12" s="10" t="s">
        <v>17</v>
      </c>
      <c r="W12" s="10">
        <f t="shared" si="0"/>
        <v>6</v>
      </c>
      <c r="X12" s="10" t="s">
        <v>333</v>
      </c>
    </row>
    <row r="13" spans="1:24" x14ac:dyDescent="0.3">
      <c r="A13" s="4"/>
    </row>
    <row r="14" spans="1:24" x14ac:dyDescent="0.3">
      <c r="A14" s="4"/>
    </row>
    <row r="15" spans="1:24" x14ac:dyDescent="0.3">
      <c r="A15" s="4"/>
    </row>
    <row r="16" spans="1:24" x14ac:dyDescent="0.3">
      <c r="A16" s="4"/>
    </row>
    <row r="17" spans="1:1" x14ac:dyDescent="0.3">
      <c r="A17" s="4"/>
    </row>
    <row r="18" spans="1:1" x14ac:dyDescent="0.3">
      <c r="A18" s="4"/>
    </row>
    <row r="19" spans="1:1" x14ac:dyDescent="0.3">
      <c r="A19" s="4"/>
    </row>
    <row r="20" spans="1:1" x14ac:dyDescent="0.3">
      <c r="A20" s="4"/>
    </row>
    <row r="21" spans="1:1" x14ac:dyDescent="0.3">
      <c r="A21" s="4"/>
    </row>
    <row r="22" spans="1:1" x14ac:dyDescent="0.3">
      <c r="A22" s="4"/>
    </row>
    <row r="23" spans="1:1" x14ac:dyDescent="0.3">
      <c r="A23" s="4"/>
    </row>
    <row r="24" spans="1:1" x14ac:dyDescent="0.3">
      <c r="A24" s="4"/>
    </row>
    <row r="25" spans="1:1" x14ac:dyDescent="0.3">
      <c r="A25" s="4"/>
    </row>
    <row r="26" spans="1:1" x14ac:dyDescent="0.3">
      <c r="A26" s="4"/>
    </row>
    <row r="27" spans="1:1" x14ac:dyDescent="0.3">
      <c r="A27" s="4"/>
    </row>
    <row r="28" spans="1:1" x14ac:dyDescent="0.3">
      <c r="A28" s="4"/>
    </row>
    <row r="29" spans="1:1" x14ac:dyDescent="0.3">
      <c r="A29" s="4"/>
    </row>
    <row r="30" spans="1:1" x14ac:dyDescent="0.3">
      <c r="A30" s="4"/>
    </row>
    <row r="31" spans="1:1" x14ac:dyDescent="0.3">
      <c r="A31" s="4"/>
    </row>
    <row r="32" spans="1:1" x14ac:dyDescent="0.3">
      <c r="A32" s="4"/>
    </row>
    <row r="33" spans="1:1" x14ac:dyDescent="0.3">
      <c r="A33" s="4"/>
    </row>
    <row r="34" spans="1:1" x14ac:dyDescent="0.3">
      <c r="A34" s="4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38" spans="1:1" x14ac:dyDescent="0.3">
      <c r="A38" s="4"/>
    </row>
    <row r="39" spans="1:1" x14ac:dyDescent="0.3">
      <c r="A39" s="4"/>
    </row>
    <row r="40" spans="1:1" x14ac:dyDescent="0.3">
      <c r="A40" s="4"/>
    </row>
    <row r="41" spans="1:1" x14ac:dyDescent="0.3">
      <c r="A41" s="4"/>
    </row>
    <row r="42" spans="1:1" x14ac:dyDescent="0.3">
      <c r="A42" s="4"/>
    </row>
    <row r="43" spans="1:1" x14ac:dyDescent="0.3">
      <c r="A43" s="4"/>
    </row>
    <row r="44" spans="1:1" x14ac:dyDescent="0.3">
      <c r="A44" s="4"/>
    </row>
    <row r="45" spans="1:1" x14ac:dyDescent="0.3">
      <c r="A45" s="4"/>
    </row>
    <row r="46" spans="1:1" x14ac:dyDescent="0.3">
      <c r="A46" s="4"/>
    </row>
    <row r="47" spans="1:1" x14ac:dyDescent="0.3">
      <c r="A47" s="4"/>
    </row>
    <row r="48" spans="1:1" x14ac:dyDescent="0.3">
      <c r="A48" s="4"/>
    </row>
    <row r="49" spans="1:1" x14ac:dyDescent="0.3">
      <c r="A49" s="4"/>
    </row>
    <row r="50" spans="1:1" x14ac:dyDescent="0.3">
      <c r="A50" s="4"/>
    </row>
    <row r="51" spans="1:1" x14ac:dyDescent="0.3">
      <c r="A51" s="4"/>
    </row>
    <row r="52" spans="1:1" x14ac:dyDescent="0.3">
      <c r="A52" s="4"/>
    </row>
    <row r="53" spans="1:1" x14ac:dyDescent="0.3">
      <c r="A53" s="4"/>
    </row>
    <row r="54" spans="1:1" x14ac:dyDescent="0.3">
      <c r="A54" s="4"/>
    </row>
    <row r="55" spans="1:1" x14ac:dyDescent="0.3">
      <c r="A55" s="4"/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9DD48-5FDB-4386-98C4-F3BDE7566109}">
  <dimension ref="A1:X54"/>
  <sheetViews>
    <sheetView workbookViewId="0">
      <pane xSplit="8" ySplit="1" topLeftCell="I2" activePane="bottomRight" state="frozen"/>
      <selection pane="topRight" activeCell="H1" sqref="H1"/>
      <selection pane="bottomLeft" activeCell="A2" sqref="A2"/>
      <selection pane="bottomRight" activeCell="A2" sqref="A2:X10"/>
    </sheetView>
  </sheetViews>
  <sheetFormatPr defaultRowHeight="14.4" x14ac:dyDescent="0.3"/>
  <cols>
    <col min="1" max="1" width="10.5546875" bestFit="1" customWidth="1"/>
    <col min="3" max="3" width="8.5546875" style="3" bestFit="1" customWidth="1"/>
    <col min="9" max="9" width="9.5546875" style="6" bestFit="1" customWidth="1"/>
    <col min="12" max="12" width="4.44140625" bestFit="1" customWidth="1"/>
    <col min="13" max="13" width="5" bestFit="1" customWidth="1"/>
    <col min="15" max="15" width="6.6640625" bestFit="1" customWidth="1"/>
    <col min="17" max="17" width="5.33203125" bestFit="1" customWidth="1"/>
  </cols>
  <sheetData>
    <row r="1" spans="1:24" s="1" customFormat="1" x14ac:dyDescent="0.3">
      <c r="A1" s="1" t="s">
        <v>166</v>
      </c>
      <c r="B1" s="1" t="s">
        <v>0</v>
      </c>
      <c r="C1" s="7" t="s">
        <v>331</v>
      </c>
      <c r="D1" s="1" t="s">
        <v>2</v>
      </c>
      <c r="E1" s="1" t="s">
        <v>1</v>
      </c>
      <c r="F1" s="1" t="s">
        <v>3</v>
      </c>
      <c r="G1" s="1" t="s">
        <v>4</v>
      </c>
      <c r="H1" s="1" t="s">
        <v>18</v>
      </c>
      <c r="I1" s="5" t="s">
        <v>6</v>
      </c>
      <c r="J1" s="1" t="s">
        <v>330</v>
      </c>
      <c r="K1" s="1" t="s">
        <v>7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14</v>
      </c>
      <c r="Q1" s="1" t="s">
        <v>15</v>
      </c>
      <c r="R1" s="1" t="s">
        <v>80</v>
      </c>
      <c r="S1" s="1" t="s">
        <v>328</v>
      </c>
      <c r="T1" s="1" t="s">
        <v>23</v>
      </c>
      <c r="U1" s="1" t="s">
        <v>24</v>
      </c>
      <c r="V1" s="1" t="s">
        <v>31</v>
      </c>
      <c r="W1" s="1" t="s">
        <v>329</v>
      </c>
      <c r="X1" s="1" t="s">
        <v>332</v>
      </c>
    </row>
    <row r="2" spans="1:24" x14ac:dyDescent="0.3">
      <c r="A2" s="9">
        <v>44490</v>
      </c>
      <c r="B2" s="10" t="s">
        <v>338</v>
      </c>
      <c r="C2" s="11">
        <v>7995</v>
      </c>
      <c r="D2" s="10">
        <v>2011</v>
      </c>
      <c r="E2" s="10" t="s">
        <v>76</v>
      </c>
      <c r="F2" s="10" t="s">
        <v>339</v>
      </c>
      <c r="G2" s="10" t="s">
        <v>340</v>
      </c>
      <c r="H2" s="10" t="s">
        <v>341</v>
      </c>
      <c r="I2" s="21">
        <v>154543</v>
      </c>
      <c r="J2" s="10" t="b">
        <v>0</v>
      </c>
      <c r="K2" s="10" t="s">
        <v>314</v>
      </c>
      <c r="L2" s="10" t="s">
        <v>30</v>
      </c>
      <c r="M2" s="10">
        <v>195</v>
      </c>
      <c r="N2" s="10">
        <v>4.3</v>
      </c>
      <c r="O2" s="10" t="s">
        <v>58</v>
      </c>
      <c r="P2" s="10">
        <v>17</v>
      </c>
      <c r="Q2" s="10" t="s">
        <v>16</v>
      </c>
      <c r="R2" s="10" t="s">
        <v>17</v>
      </c>
      <c r="S2" s="10" t="b">
        <v>0</v>
      </c>
      <c r="T2" s="10">
        <v>1</v>
      </c>
      <c r="U2" s="10" t="s">
        <v>17</v>
      </c>
      <c r="V2" s="10" t="s">
        <v>17</v>
      </c>
      <c r="W2" s="10">
        <f>2021-D2</f>
        <v>10</v>
      </c>
      <c r="X2" s="10" t="s">
        <v>335</v>
      </c>
    </row>
    <row r="3" spans="1:24" x14ac:dyDescent="0.3">
      <c r="A3" s="9">
        <v>44490</v>
      </c>
      <c r="B3" s="10" t="s">
        <v>342</v>
      </c>
      <c r="C3" s="11">
        <v>9450</v>
      </c>
      <c r="D3" s="10">
        <v>2007</v>
      </c>
      <c r="E3" s="10" t="s">
        <v>68</v>
      </c>
      <c r="F3" s="10" t="s">
        <v>343</v>
      </c>
      <c r="G3" s="10" t="s">
        <v>344</v>
      </c>
      <c r="H3" s="10" t="s">
        <v>341</v>
      </c>
      <c r="I3" s="21">
        <v>156000</v>
      </c>
      <c r="J3" s="10" t="b">
        <v>0</v>
      </c>
      <c r="K3" s="10" t="s">
        <v>36</v>
      </c>
      <c r="L3" s="10" t="s">
        <v>30</v>
      </c>
      <c r="M3" s="10">
        <v>271</v>
      </c>
      <c r="N3" s="10">
        <v>4.7</v>
      </c>
      <c r="O3" s="10" t="s">
        <v>74</v>
      </c>
      <c r="P3" s="10">
        <v>15</v>
      </c>
      <c r="Q3" s="10" t="s">
        <v>16</v>
      </c>
      <c r="R3" s="10" t="s">
        <v>25</v>
      </c>
      <c r="S3" s="10" t="b">
        <v>1</v>
      </c>
      <c r="T3" s="10">
        <v>3</v>
      </c>
      <c r="U3" s="10" t="s">
        <v>17</v>
      </c>
      <c r="V3" s="10" t="s">
        <v>17</v>
      </c>
      <c r="W3" s="10">
        <f t="shared" ref="W3:W10" si="0">2021-D3</f>
        <v>14</v>
      </c>
      <c r="X3" s="10" t="s">
        <v>333</v>
      </c>
    </row>
    <row r="4" spans="1:24" x14ac:dyDescent="0.3">
      <c r="A4" s="9">
        <v>44490</v>
      </c>
      <c r="B4" s="10" t="s">
        <v>345</v>
      </c>
      <c r="C4" s="11">
        <v>8495</v>
      </c>
      <c r="D4" s="10">
        <v>2008</v>
      </c>
      <c r="E4" s="10" t="s">
        <v>228</v>
      </c>
      <c r="F4" s="10" t="s">
        <v>346</v>
      </c>
      <c r="G4" s="10" t="s">
        <v>347</v>
      </c>
      <c r="H4" s="10" t="s">
        <v>341</v>
      </c>
      <c r="I4" s="21">
        <v>151631</v>
      </c>
      <c r="J4" s="10" t="b">
        <v>0</v>
      </c>
      <c r="K4" s="10" t="s">
        <v>36</v>
      </c>
      <c r="L4" s="10" t="s">
        <v>30</v>
      </c>
      <c r="M4" s="10">
        <v>310</v>
      </c>
      <c r="N4" s="10">
        <v>4.7</v>
      </c>
      <c r="O4" s="10" t="s">
        <v>74</v>
      </c>
      <c r="P4" s="10">
        <v>15</v>
      </c>
      <c r="Q4" s="10" t="s">
        <v>16</v>
      </c>
      <c r="R4" s="10" t="s">
        <v>17</v>
      </c>
      <c r="S4" s="10" t="b">
        <v>0</v>
      </c>
      <c r="T4" s="10">
        <v>1</v>
      </c>
      <c r="U4" s="10" t="s">
        <v>17</v>
      </c>
      <c r="V4" s="10" t="s">
        <v>17</v>
      </c>
      <c r="W4" s="10">
        <f t="shared" si="0"/>
        <v>13</v>
      </c>
      <c r="X4" s="10" t="s">
        <v>335</v>
      </c>
    </row>
    <row r="5" spans="1:24" x14ac:dyDescent="0.3">
      <c r="A5" s="9">
        <v>44490</v>
      </c>
      <c r="B5" s="10" t="s">
        <v>348</v>
      </c>
      <c r="C5" s="11">
        <v>6200</v>
      </c>
      <c r="D5" s="10">
        <v>2008</v>
      </c>
      <c r="E5" s="10" t="s">
        <v>76</v>
      </c>
      <c r="F5" s="10" t="s">
        <v>349</v>
      </c>
      <c r="G5" s="10" t="s">
        <v>350</v>
      </c>
      <c r="H5" s="10" t="s">
        <v>341</v>
      </c>
      <c r="I5" s="21">
        <v>199503</v>
      </c>
      <c r="J5" s="10" t="b">
        <v>0</v>
      </c>
      <c r="K5" s="10" t="s">
        <v>314</v>
      </c>
      <c r="L5" s="10" t="s">
        <v>30</v>
      </c>
      <c r="M5" s="10">
        <v>242</v>
      </c>
      <c r="N5" s="10">
        <v>3.7</v>
      </c>
      <c r="O5" s="10" t="s">
        <v>351</v>
      </c>
      <c r="P5" s="10">
        <v>19</v>
      </c>
      <c r="Q5" s="10" t="s">
        <v>16</v>
      </c>
      <c r="R5" s="10" t="s">
        <v>17</v>
      </c>
      <c r="S5" s="10" t="b">
        <v>1</v>
      </c>
      <c r="T5" s="10">
        <v>4</v>
      </c>
      <c r="U5" s="10" t="s">
        <v>17</v>
      </c>
      <c r="V5" s="10" t="s">
        <v>17</v>
      </c>
      <c r="W5" s="10">
        <f t="shared" si="0"/>
        <v>13</v>
      </c>
      <c r="X5" s="10" t="s">
        <v>335</v>
      </c>
    </row>
    <row r="6" spans="1:24" x14ac:dyDescent="0.3">
      <c r="A6" s="9">
        <v>44490</v>
      </c>
      <c r="B6" s="10" t="s">
        <v>352</v>
      </c>
      <c r="C6" s="11">
        <v>7750</v>
      </c>
      <c r="D6" s="10">
        <v>2003</v>
      </c>
      <c r="E6" s="10" t="s">
        <v>68</v>
      </c>
      <c r="F6" s="10" t="s">
        <v>353</v>
      </c>
      <c r="G6" s="10" t="s">
        <v>354</v>
      </c>
      <c r="H6" s="10" t="s">
        <v>341</v>
      </c>
      <c r="I6" s="21">
        <v>265630</v>
      </c>
      <c r="J6" s="10" t="b">
        <v>0</v>
      </c>
      <c r="K6" s="10" t="s">
        <v>36</v>
      </c>
      <c r="L6" s="10" t="s">
        <v>30</v>
      </c>
      <c r="M6" s="10">
        <v>190</v>
      </c>
      <c r="N6" s="10">
        <v>3.4</v>
      </c>
      <c r="O6" s="10" t="s">
        <v>58</v>
      </c>
      <c r="P6" s="10">
        <v>17</v>
      </c>
      <c r="Q6" s="10" t="s">
        <v>16</v>
      </c>
      <c r="R6" s="10" t="s">
        <v>17</v>
      </c>
      <c r="S6" s="10" t="b">
        <v>0</v>
      </c>
      <c r="T6" s="10">
        <v>6</v>
      </c>
      <c r="U6" s="10" t="s">
        <v>17</v>
      </c>
      <c r="V6" s="10" t="s">
        <v>17</v>
      </c>
      <c r="W6" s="10">
        <f t="shared" si="0"/>
        <v>18</v>
      </c>
      <c r="X6" s="10" t="s">
        <v>333</v>
      </c>
    </row>
    <row r="7" spans="1:24" x14ac:dyDescent="0.3">
      <c r="A7" s="9">
        <v>44490</v>
      </c>
      <c r="B7" s="10" t="s">
        <v>355</v>
      </c>
      <c r="C7" s="11">
        <v>8999</v>
      </c>
      <c r="D7" s="10">
        <v>2005</v>
      </c>
      <c r="E7" s="10" t="s">
        <v>63</v>
      </c>
      <c r="F7" s="10" t="s">
        <v>356</v>
      </c>
      <c r="G7" s="10" t="s">
        <v>357</v>
      </c>
      <c r="H7" s="10" t="s">
        <v>341</v>
      </c>
      <c r="I7" s="21">
        <v>197594</v>
      </c>
      <c r="J7" s="10" t="b">
        <v>0</v>
      </c>
      <c r="K7" s="10" t="s">
        <v>36</v>
      </c>
      <c r="L7" s="10" t="s">
        <v>30</v>
      </c>
      <c r="M7" s="10">
        <v>300</v>
      </c>
      <c r="N7" s="10">
        <v>5.4</v>
      </c>
      <c r="O7" s="10" t="s">
        <v>74</v>
      </c>
      <c r="P7" s="10">
        <v>15</v>
      </c>
      <c r="Q7" s="10" t="s">
        <v>16</v>
      </c>
      <c r="R7" s="10" t="s">
        <v>17</v>
      </c>
      <c r="S7" s="10" t="b">
        <v>0</v>
      </c>
      <c r="T7" s="10">
        <v>5</v>
      </c>
      <c r="U7" s="10" t="s">
        <v>17</v>
      </c>
      <c r="V7" s="10" t="s">
        <v>17</v>
      </c>
      <c r="W7" s="10">
        <f t="shared" si="0"/>
        <v>16</v>
      </c>
      <c r="X7" s="10" t="s">
        <v>335</v>
      </c>
    </row>
    <row r="8" spans="1:24" x14ac:dyDescent="0.3">
      <c r="A8" s="9">
        <v>44490</v>
      </c>
      <c r="B8" s="10" t="s">
        <v>358</v>
      </c>
      <c r="C8" s="11">
        <v>7995</v>
      </c>
      <c r="D8" s="10">
        <v>2005</v>
      </c>
      <c r="E8" s="10" t="s">
        <v>5</v>
      </c>
      <c r="F8" s="10" t="s">
        <v>359</v>
      </c>
      <c r="G8" s="10" t="s">
        <v>360</v>
      </c>
      <c r="H8" s="10" t="s">
        <v>341</v>
      </c>
      <c r="I8" s="21">
        <v>220439</v>
      </c>
      <c r="J8" s="10" t="b">
        <v>0</v>
      </c>
      <c r="K8" s="10" t="s">
        <v>36</v>
      </c>
      <c r="L8" s="10" t="s">
        <v>30</v>
      </c>
      <c r="M8" s="10">
        <v>265</v>
      </c>
      <c r="N8" s="10">
        <v>4</v>
      </c>
      <c r="O8" s="10" t="s">
        <v>58</v>
      </c>
      <c r="P8" s="10">
        <v>16</v>
      </c>
      <c r="Q8" s="10" t="s">
        <v>16</v>
      </c>
      <c r="R8" s="10" t="s">
        <v>17</v>
      </c>
      <c r="S8" s="10" t="b">
        <v>0</v>
      </c>
      <c r="T8" s="10">
        <v>6</v>
      </c>
      <c r="U8" s="10" t="s">
        <v>17</v>
      </c>
      <c r="V8" s="10" t="s">
        <v>17</v>
      </c>
      <c r="W8" s="10">
        <f t="shared" si="0"/>
        <v>16</v>
      </c>
      <c r="X8" s="10" t="s">
        <v>333</v>
      </c>
    </row>
    <row r="9" spans="1:24" x14ac:dyDescent="0.3">
      <c r="A9" s="9">
        <v>44490</v>
      </c>
      <c r="B9" s="10" t="s">
        <v>361</v>
      </c>
      <c r="C9" s="11">
        <v>7950</v>
      </c>
      <c r="D9" s="10">
        <v>2007</v>
      </c>
      <c r="E9" s="10" t="s">
        <v>362</v>
      </c>
      <c r="F9" s="10" t="s">
        <v>363</v>
      </c>
      <c r="G9" s="10" t="s">
        <v>364</v>
      </c>
      <c r="H9" s="10" t="s">
        <v>341</v>
      </c>
      <c r="I9" s="21">
        <v>133278</v>
      </c>
      <c r="J9" s="10" t="b">
        <v>0</v>
      </c>
      <c r="K9" s="10" t="s">
        <v>36</v>
      </c>
      <c r="L9" s="10" t="s">
        <v>30</v>
      </c>
      <c r="M9" s="10">
        <v>210</v>
      </c>
      <c r="N9" s="10">
        <v>3.7</v>
      </c>
      <c r="O9" s="10" t="s">
        <v>58</v>
      </c>
      <c r="P9" s="10">
        <v>17</v>
      </c>
      <c r="Q9" s="10" t="s">
        <v>16</v>
      </c>
      <c r="R9" s="10" t="s">
        <v>17</v>
      </c>
      <c r="S9" s="10" t="b">
        <v>1</v>
      </c>
      <c r="T9" s="10">
        <v>4</v>
      </c>
      <c r="U9" s="10" t="s">
        <v>17</v>
      </c>
      <c r="V9" s="10" t="s">
        <v>25</v>
      </c>
      <c r="W9" s="10">
        <f t="shared" si="0"/>
        <v>14</v>
      </c>
      <c r="X9" s="10" t="s">
        <v>333</v>
      </c>
    </row>
    <row r="10" spans="1:24" x14ac:dyDescent="0.3">
      <c r="A10" s="9">
        <v>44490</v>
      </c>
      <c r="B10" s="10" t="s">
        <v>365</v>
      </c>
      <c r="C10" s="11">
        <v>2995</v>
      </c>
      <c r="D10" s="10">
        <v>2000</v>
      </c>
      <c r="E10" s="10" t="s">
        <v>63</v>
      </c>
      <c r="F10" s="10" t="s">
        <v>366</v>
      </c>
      <c r="G10" s="10" t="s">
        <v>367</v>
      </c>
      <c r="H10" s="10" t="s">
        <v>341</v>
      </c>
      <c r="I10" s="21">
        <v>223734</v>
      </c>
      <c r="J10" s="10" t="b">
        <v>0</v>
      </c>
      <c r="K10" s="10" t="s">
        <v>36</v>
      </c>
      <c r="L10" s="10" t="s">
        <v>30</v>
      </c>
      <c r="M10" s="10">
        <v>119</v>
      </c>
      <c r="N10" s="10">
        <v>2.5</v>
      </c>
      <c r="O10" s="10" t="s">
        <v>13</v>
      </c>
      <c r="P10" s="10">
        <v>20</v>
      </c>
      <c r="Q10" s="10" t="s">
        <v>16</v>
      </c>
      <c r="R10" s="10" t="s">
        <v>17</v>
      </c>
      <c r="S10" s="10" t="b">
        <v>0</v>
      </c>
      <c r="T10" s="10">
        <v>5</v>
      </c>
      <c r="U10" s="10" t="s">
        <v>17</v>
      </c>
      <c r="V10" s="10" t="s">
        <v>25</v>
      </c>
      <c r="W10" s="10">
        <f t="shared" si="0"/>
        <v>21</v>
      </c>
      <c r="X10" s="10" t="s">
        <v>335</v>
      </c>
    </row>
    <row r="11" spans="1:24" x14ac:dyDescent="0.3">
      <c r="A11" s="4"/>
    </row>
    <row r="13" spans="1:24" x14ac:dyDescent="0.3">
      <c r="A13" s="4"/>
    </row>
    <row r="14" spans="1:24" x14ac:dyDescent="0.3">
      <c r="A14" s="4"/>
    </row>
    <row r="15" spans="1:24" x14ac:dyDescent="0.3">
      <c r="A15" s="4"/>
    </row>
    <row r="16" spans="1:24" x14ac:dyDescent="0.3">
      <c r="A16" s="4"/>
    </row>
    <row r="17" spans="1:1" x14ac:dyDescent="0.3">
      <c r="A17" s="4"/>
    </row>
    <row r="18" spans="1:1" x14ac:dyDescent="0.3">
      <c r="A18" s="4"/>
    </row>
    <row r="19" spans="1:1" x14ac:dyDescent="0.3">
      <c r="A19" s="4"/>
    </row>
    <row r="20" spans="1:1" x14ac:dyDescent="0.3">
      <c r="A20" s="4"/>
    </row>
    <row r="21" spans="1:1" x14ac:dyDescent="0.3">
      <c r="A21" s="4"/>
    </row>
    <row r="22" spans="1:1" x14ac:dyDescent="0.3">
      <c r="A22" s="4"/>
    </row>
    <row r="23" spans="1:1" x14ac:dyDescent="0.3">
      <c r="A23" s="4"/>
    </row>
    <row r="24" spans="1:1" x14ac:dyDescent="0.3">
      <c r="A24" s="4"/>
    </row>
    <row r="25" spans="1:1" x14ac:dyDescent="0.3">
      <c r="A25" s="4"/>
    </row>
    <row r="26" spans="1:1" x14ac:dyDescent="0.3">
      <c r="A26" s="4"/>
    </row>
    <row r="27" spans="1:1" x14ac:dyDescent="0.3">
      <c r="A27" s="4"/>
    </row>
    <row r="28" spans="1:1" x14ac:dyDescent="0.3">
      <c r="A28" s="4"/>
    </row>
    <row r="29" spans="1:1" x14ac:dyDescent="0.3">
      <c r="A29" s="4"/>
    </row>
    <row r="30" spans="1:1" x14ac:dyDescent="0.3">
      <c r="A30" s="4"/>
    </row>
    <row r="31" spans="1:1" x14ac:dyDescent="0.3">
      <c r="A31" s="4"/>
    </row>
    <row r="32" spans="1:1" x14ac:dyDescent="0.3">
      <c r="A32" s="4"/>
    </row>
    <row r="33" spans="1:1" x14ac:dyDescent="0.3">
      <c r="A33" s="4"/>
    </row>
    <row r="34" spans="1:1" x14ac:dyDescent="0.3">
      <c r="A34" s="4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38" spans="1:1" x14ac:dyDescent="0.3">
      <c r="A38" s="4"/>
    </row>
    <row r="39" spans="1:1" x14ac:dyDescent="0.3">
      <c r="A39" s="4"/>
    </row>
    <row r="40" spans="1:1" x14ac:dyDescent="0.3">
      <c r="A40" s="4"/>
    </row>
    <row r="41" spans="1:1" x14ac:dyDescent="0.3">
      <c r="A41" s="4"/>
    </row>
    <row r="42" spans="1:1" x14ac:dyDescent="0.3">
      <c r="A42" s="4"/>
    </row>
    <row r="43" spans="1:1" x14ac:dyDescent="0.3">
      <c r="A43" s="4"/>
    </row>
    <row r="44" spans="1:1" x14ac:dyDescent="0.3">
      <c r="A44" s="4"/>
    </row>
    <row r="45" spans="1:1" x14ac:dyDescent="0.3">
      <c r="A45" s="4"/>
    </row>
    <row r="46" spans="1:1" x14ac:dyDescent="0.3">
      <c r="A46" s="4"/>
    </row>
    <row r="47" spans="1:1" x14ac:dyDescent="0.3">
      <c r="A47" s="4"/>
    </row>
    <row r="48" spans="1:1" x14ac:dyDescent="0.3">
      <c r="A48" s="4"/>
    </row>
    <row r="49" spans="1:1" x14ac:dyDescent="0.3">
      <c r="A49" s="4"/>
    </row>
    <row r="50" spans="1:1" x14ac:dyDescent="0.3">
      <c r="A50" s="4"/>
    </row>
    <row r="51" spans="1:1" x14ac:dyDescent="0.3">
      <c r="A51" s="4"/>
    </row>
    <row r="52" spans="1:1" x14ac:dyDescent="0.3">
      <c r="A52" s="4"/>
    </row>
    <row r="53" spans="1:1" x14ac:dyDescent="0.3">
      <c r="A53" s="4"/>
    </row>
    <row r="54" spans="1:1" x14ac:dyDescent="0.3">
      <c r="A54" s="4"/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4F335-DAD3-436B-8599-59BB495D9EBD}">
  <dimension ref="A1:X74"/>
  <sheetViews>
    <sheetView workbookViewId="0">
      <pane xSplit="8" ySplit="1" topLeftCell="I62" activePane="bottomRight" state="frozen"/>
      <selection pane="topRight" activeCell="H1" sqref="H1"/>
      <selection pane="bottomLeft" activeCell="A2" sqref="A2"/>
      <selection pane="bottomRight" activeCell="A2" sqref="A2:X74"/>
    </sheetView>
  </sheetViews>
  <sheetFormatPr defaultRowHeight="14.4" x14ac:dyDescent="0.3"/>
  <cols>
    <col min="1" max="1" width="10.5546875" bestFit="1" customWidth="1"/>
    <col min="3" max="3" width="8.5546875" style="3" bestFit="1" customWidth="1"/>
    <col min="9" max="9" width="9.5546875" style="6" bestFit="1" customWidth="1"/>
    <col min="12" max="12" width="4.44140625" bestFit="1" customWidth="1"/>
    <col min="13" max="13" width="5" bestFit="1" customWidth="1"/>
    <col min="15" max="15" width="6.6640625" bestFit="1" customWidth="1"/>
    <col min="17" max="17" width="5.33203125" bestFit="1" customWidth="1"/>
  </cols>
  <sheetData>
    <row r="1" spans="1:24" s="1" customFormat="1" x14ac:dyDescent="0.3">
      <c r="A1" s="1" t="s">
        <v>166</v>
      </c>
      <c r="B1" s="1" t="s">
        <v>0</v>
      </c>
      <c r="C1" s="7" t="s">
        <v>331</v>
      </c>
      <c r="D1" s="1" t="s">
        <v>2</v>
      </c>
      <c r="E1" s="1" t="s">
        <v>1</v>
      </c>
      <c r="F1" s="1" t="s">
        <v>3</v>
      </c>
      <c r="G1" s="1" t="s">
        <v>4</v>
      </c>
      <c r="H1" s="1" t="s">
        <v>18</v>
      </c>
      <c r="I1" s="5" t="s">
        <v>6</v>
      </c>
      <c r="J1" s="1" t="s">
        <v>330</v>
      </c>
      <c r="K1" s="1" t="s">
        <v>7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14</v>
      </c>
      <c r="Q1" s="1" t="s">
        <v>15</v>
      </c>
      <c r="R1" s="1" t="s">
        <v>80</v>
      </c>
      <c r="S1" s="1" t="s">
        <v>328</v>
      </c>
      <c r="T1" s="1" t="s">
        <v>23</v>
      </c>
      <c r="U1" s="1" t="s">
        <v>24</v>
      </c>
      <c r="V1" s="1" t="s">
        <v>31</v>
      </c>
      <c r="W1" s="1" t="s">
        <v>329</v>
      </c>
      <c r="X1" s="1" t="s">
        <v>332</v>
      </c>
    </row>
    <row r="2" spans="1:24" x14ac:dyDescent="0.3">
      <c r="A2" s="9">
        <v>44490</v>
      </c>
      <c r="B2" s="10" t="s">
        <v>475</v>
      </c>
      <c r="C2" s="11">
        <v>10500</v>
      </c>
      <c r="D2" s="10">
        <v>2012</v>
      </c>
      <c r="E2" s="10" t="s">
        <v>182</v>
      </c>
      <c r="F2" s="10" t="s">
        <v>476</v>
      </c>
      <c r="G2" s="10"/>
      <c r="H2" s="10" t="s">
        <v>395</v>
      </c>
      <c r="I2" s="21">
        <v>103425</v>
      </c>
      <c r="J2" s="10" t="b">
        <v>0</v>
      </c>
      <c r="K2" s="10" t="s">
        <v>8</v>
      </c>
      <c r="L2" s="10" t="s">
        <v>30</v>
      </c>
      <c r="M2" s="10">
        <v>280</v>
      </c>
      <c r="N2" s="10">
        <v>3.5</v>
      </c>
      <c r="O2" s="10" t="s">
        <v>58</v>
      </c>
      <c r="P2" s="10">
        <v>24</v>
      </c>
      <c r="Q2" s="10" t="s">
        <v>16</v>
      </c>
      <c r="R2" s="10" t="s">
        <v>17</v>
      </c>
      <c r="S2" s="10" t="b">
        <v>0</v>
      </c>
      <c r="T2" s="10">
        <v>3</v>
      </c>
      <c r="U2" s="10" t="s">
        <v>17</v>
      </c>
      <c r="V2" s="10" t="s">
        <v>17</v>
      </c>
      <c r="W2" s="10">
        <f t="shared" ref="W2:W33" si="0">2021-D2</f>
        <v>9</v>
      </c>
      <c r="X2" s="10" t="s">
        <v>333</v>
      </c>
    </row>
    <row r="3" spans="1:24" x14ac:dyDescent="0.3">
      <c r="A3" s="9">
        <v>44490</v>
      </c>
      <c r="B3" s="10" t="s">
        <v>524</v>
      </c>
      <c r="C3" s="11">
        <v>16995</v>
      </c>
      <c r="D3" s="10">
        <v>2011</v>
      </c>
      <c r="E3" s="10" t="s">
        <v>38</v>
      </c>
      <c r="F3" s="10" t="s">
        <v>511</v>
      </c>
      <c r="G3" s="10" t="s">
        <v>525</v>
      </c>
      <c r="H3" s="10" t="s">
        <v>395</v>
      </c>
      <c r="I3" s="21">
        <v>129320</v>
      </c>
      <c r="J3" s="10" t="b">
        <v>0</v>
      </c>
      <c r="K3" s="10" t="s">
        <v>136</v>
      </c>
      <c r="L3" s="10" t="s">
        <v>30</v>
      </c>
      <c r="M3" s="10">
        <v>372</v>
      </c>
      <c r="N3" s="10">
        <v>4.2</v>
      </c>
      <c r="O3" s="10" t="s">
        <v>74</v>
      </c>
      <c r="P3" s="10">
        <v>22</v>
      </c>
      <c r="Q3" s="10" t="s">
        <v>16</v>
      </c>
      <c r="R3" s="10" t="s">
        <v>17</v>
      </c>
      <c r="S3" s="10" t="b">
        <v>1</v>
      </c>
      <c r="T3" s="10">
        <v>3</v>
      </c>
      <c r="U3" s="10" t="s">
        <v>17</v>
      </c>
      <c r="V3" s="10" t="s">
        <v>17</v>
      </c>
      <c r="W3" s="10">
        <f t="shared" si="0"/>
        <v>10</v>
      </c>
      <c r="X3" s="10" t="s">
        <v>334</v>
      </c>
    </row>
    <row r="4" spans="1:24" x14ac:dyDescent="0.3">
      <c r="A4" s="9">
        <v>44490</v>
      </c>
      <c r="B4" s="10" t="s">
        <v>422</v>
      </c>
      <c r="C4" s="11">
        <v>29997</v>
      </c>
      <c r="D4" s="10">
        <v>2018</v>
      </c>
      <c r="E4" s="10" t="s">
        <v>38</v>
      </c>
      <c r="F4" s="10" t="s">
        <v>97</v>
      </c>
      <c r="G4" s="10" t="s">
        <v>423</v>
      </c>
      <c r="H4" s="10" t="s">
        <v>395</v>
      </c>
      <c r="I4" s="21">
        <v>57783</v>
      </c>
      <c r="J4" s="10" t="b">
        <v>0</v>
      </c>
      <c r="K4" s="10" t="s">
        <v>136</v>
      </c>
      <c r="L4" s="10" t="s">
        <v>30</v>
      </c>
      <c r="M4" s="10">
        <v>252</v>
      </c>
      <c r="N4" s="10">
        <v>2</v>
      </c>
      <c r="O4" s="10" t="s">
        <v>13</v>
      </c>
      <c r="P4" s="10">
        <v>29</v>
      </c>
      <c r="Q4" s="10" t="s">
        <v>16</v>
      </c>
      <c r="R4" s="10" t="s">
        <v>17</v>
      </c>
      <c r="S4" s="10" t="b">
        <v>0</v>
      </c>
      <c r="T4" s="10">
        <v>1</v>
      </c>
      <c r="U4" s="10" t="s">
        <v>17</v>
      </c>
      <c r="V4" s="10" t="s">
        <v>17</v>
      </c>
      <c r="W4" s="10">
        <f t="shared" si="0"/>
        <v>3</v>
      </c>
      <c r="X4" s="10" t="s">
        <v>334</v>
      </c>
    </row>
    <row r="5" spans="1:24" x14ac:dyDescent="0.3">
      <c r="A5" s="9">
        <v>44490</v>
      </c>
      <c r="B5" s="10" t="s">
        <v>510</v>
      </c>
      <c r="C5" s="11">
        <v>27591</v>
      </c>
      <c r="D5" s="10">
        <v>2015</v>
      </c>
      <c r="E5" s="10" t="s">
        <v>38</v>
      </c>
      <c r="F5" s="10" t="s">
        <v>511</v>
      </c>
      <c r="G5" s="10" t="s">
        <v>512</v>
      </c>
      <c r="H5" s="10" t="s">
        <v>395</v>
      </c>
      <c r="I5" s="21">
        <v>91755</v>
      </c>
      <c r="J5" s="10" t="b">
        <v>0</v>
      </c>
      <c r="K5" s="10" t="s">
        <v>136</v>
      </c>
      <c r="L5" s="10" t="s">
        <v>30</v>
      </c>
      <c r="M5" s="10">
        <v>435</v>
      </c>
      <c r="N5" s="10">
        <v>4</v>
      </c>
      <c r="O5" s="10" t="s">
        <v>74</v>
      </c>
      <c r="P5" s="10">
        <v>23</v>
      </c>
      <c r="Q5" s="10" t="s">
        <v>16</v>
      </c>
      <c r="R5" s="10" t="s">
        <v>17</v>
      </c>
      <c r="S5" s="10" t="b">
        <v>0</v>
      </c>
      <c r="T5" s="10">
        <v>2</v>
      </c>
      <c r="U5" s="10" t="s">
        <v>17</v>
      </c>
      <c r="V5" s="10" t="s">
        <v>17</v>
      </c>
      <c r="W5" s="10">
        <f t="shared" si="0"/>
        <v>6</v>
      </c>
      <c r="X5" s="10" t="s">
        <v>334</v>
      </c>
    </row>
    <row r="6" spans="1:24" x14ac:dyDescent="0.3">
      <c r="A6" s="9">
        <v>44490</v>
      </c>
      <c r="B6" s="10" t="s">
        <v>437</v>
      </c>
      <c r="C6" s="11">
        <v>6994</v>
      </c>
      <c r="D6" s="10">
        <v>2006</v>
      </c>
      <c r="E6" s="10" t="s">
        <v>42</v>
      </c>
      <c r="F6" s="10" t="s">
        <v>419</v>
      </c>
      <c r="G6" s="10" t="s">
        <v>438</v>
      </c>
      <c r="H6" s="10" t="s">
        <v>395</v>
      </c>
      <c r="I6" s="21">
        <v>132551</v>
      </c>
      <c r="J6" s="10" t="b">
        <v>0</v>
      </c>
      <c r="K6" s="10" t="s">
        <v>36</v>
      </c>
      <c r="L6" s="10" t="s">
        <v>30</v>
      </c>
      <c r="M6" s="10">
        <v>215</v>
      </c>
      <c r="N6" s="10">
        <v>3</v>
      </c>
      <c r="O6" s="10" t="s">
        <v>49</v>
      </c>
      <c r="P6" s="10">
        <v>22</v>
      </c>
      <c r="Q6" s="10" t="s">
        <v>16</v>
      </c>
      <c r="R6" s="10" t="s">
        <v>17</v>
      </c>
      <c r="S6" s="10" t="b">
        <v>1</v>
      </c>
      <c r="T6" s="10">
        <v>4</v>
      </c>
      <c r="U6" s="10" t="s">
        <v>17</v>
      </c>
      <c r="V6" s="10" t="s">
        <v>17</v>
      </c>
      <c r="W6" s="10">
        <f t="shared" si="0"/>
        <v>15</v>
      </c>
      <c r="X6" s="10" t="s">
        <v>334</v>
      </c>
    </row>
    <row r="7" spans="1:24" x14ac:dyDescent="0.3">
      <c r="A7" s="9">
        <v>44490</v>
      </c>
      <c r="B7" s="10" t="s">
        <v>516</v>
      </c>
      <c r="C7" s="11">
        <v>16995</v>
      </c>
      <c r="D7" s="10">
        <v>2013</v>
      </c>
      <c r="E7" s="10" t="s">
        <v>42</v>
      </c>
      <c r="F7" s="10" t="s">
        <v>442</v>
      </c>
      <c r="G7" s="10" t="s">
        <v>517</v>
      </c>
      <c r="H7" s="10" t="s">
        <v>395</v>
      </c>
      <c r="I7" s="21">
        <v>117191</v>
      </c>
      <c r="J7" s="10" t="b">
        <v>0</v>
      </c>
      <c r="K7" s="10" t="s">
        <v>136</v>
      </c>
      <c r="L7" s="10" t="s">
        <v>30</v>
      </c>
      <c r="M7" s="10">
        <v>445</v>
      </c>
      <c r="N7" s="10">
        <v>4.4000000000000004</v>
      </c>
      <c r="O7" s="10" t="s">
        <v>74</v>
      </c>
      <c r="P7" s="10">
        <v>20</v>
      </c>
      <c r="Q7" s="10" t="s">
        <v>16</v>
      </c>
      <c r="R7" s="10" t="s">
        <v>17</v>
      </c>
      <c r="S7" s="10" t="b">
        <v>1</v>
      </c>
      <c r="T7" s="10">
        <v>4</v>
      </c>
      <c r="U7" s="10" t="s">
        <v>17</v>
      </c>
      <c r="V7" s="10" t="s">
        <v>17</v>
      </c>
      <c r="W7" s="10">
        <f t="shared" si="0"/>
        <v>8</v>
      </c>
      <c r="X7" s="10" t="s">
        <v>334</v>
      </c>
    </row>
    <row r="8" spans="1:24" x14ac:dyDescent="0.3">
      <c r="A8" s="9">
        <v>44490</v>
      </c>
      <c r="B8" s="10" t="s">
        <v>418</v>
      </c>
      <c r="C8" s="11">
        <v>22349</v>
      </c>
      <c r="D8" s="10">
        <v>2016</v>
      </c>
      <c r="E8" s="10" t="s">
        <v>42</v>
      </c>
      <c r="F8" s="10" t="s">
        <v>419</v>
      </c>
      <c r="G8" s="10" t="s">
        <v>420</v>
      </c>
      <c r="H8" s="10" t="s">
        <v>395</v>
      </c>
      <c r="I8" s="21">
        <v>69477</v>
      </c>
      <c r="J8" s="10" t="b">
        <v>0</v>
      </c>
      <c r="K8" s="10" t="s">
        <v>36</v>
      </c>
      <c r="L8" s="10" t="s">
        <v>30</v>
      </c>
      <c r="M8" s="10">
        <v>240</v>
      </c>
      <c r="N8" s="10">
        <v>2</v>
      </c>
      <c r="O8" s="10" t="s">
        <v>13</v>
      </c>
      <c r="P8" s="10">
        <v>28</v>
      </c>
      <c r="Q8" s="10" t="s">
        <v>16</v>
      </c>
      <c r="R8" s="10" t="s">
        <v>17</v>
      </c>
      <c r="S8" s="10" t="b">
        <v>0</v>
      </c>
      <c r="T8" s="10">
        <v>3</v>
      </c>
      <c r="U8" s="10" t="s">
        <v>25</v>
      </c>
      <c r="V8" s="10" t="s">
        <v>17</v>
      </c>
      <c r="W8" s="10">
        <f t="shared" si="0"/>
        <v>5</v>
      </c>
      <c r="X8" s="10" t="s">
        <v>334</v>
      </c>
    </row>
    <row r="9" spans="1:24" x14ac:dyDescent="0.3">
      <c r="A9" s="9">
        <v>44490</v>
      </c>
      <c r="B9" s="10" t="s">
        <v>433</v>
      </c>
      <c r="C9" s="11">
        <v>26391</v>
      </c>
      <c r="D9" s="10">
        <v>2015</v>
      </c>
      <c r="E9" s="10" t="s">
        <v>42</v>
      </c>
      <c r="F9" s="10" t="s">
        <v>51</v>
      </c>
      <c r="G9" s="10" t="s">
        <v>100</v>
      </c>
      <c r="H9" s="10" t="s">
        <v>395</v>
      </c>
      <c r="I9" s="21">
        <v>47371</v>
      </c>
      <c r="J9" s="10" t="b">
        <v>0</v>
      </c>
      <c r="K9" s="10" t="s">
        <v>36</v>
      </c>
      <c r="L9" s="10" t="s">
        <v>30</v>
      </c>
      <c r="M9" s="10">
        <v>300</v>
      </c>
      <c r="N9" s="10">
        <v>3</v>
      </c>
      <c r="O9" s="10" t="s">
        <v>49</v>
      </c>
      <c r="P9" s="10">
        <v>26</v>
      </c>
      <c r="Q9" s="10" t="s">
        <v>16</v>
      </c>
      <c r="R9" s="10" t="s">
        <v>17</v>
      </c>
      <c r="S9" s="10" t="b">
        <v>0</v>
      </c>
      <c r="T9" s="10">
        <v>3</v>
      </c>
      <c r="U9" s="10" t="s">
        <v>17</v>
      </c>
      <c r="V9" s="10" t="s">
        <v>17</v>
      </c>
      <c r="W9" s="10">
        <f t="shared" si="0"/>
        <v>6</v>
      </c>
      <c r="X9" s="10" t="s">
        <v>334</v>
      </c>
    </row>
    <row r="10" spans="1:24" x14ac:dyDescent="0.3">
      <c r="A10" s="9">
        <v>44490</v>
      </c>
      <c r="B10" s="10" t="s">
        <v>434</v>
      </c>
      <c r="C10" s="11">
        <v>6990</v>
      </c>
      <c r="D10" s="10">
        <v>2011</v>
      </c>
      <c r="E10" s="10" t="s">
        <v>42</v>
      </c>
      <c r="F10" s="10" t="s">
        <v>51</v>
      </c>
      <c r="G10" s="10" t="s">
        <v>52</v>
      </c>
      <c r="H10" s="10" t="s">
        <v>395</v>
      </c>
      <c r="I10" s="21">
        <v>149375</v>
      </c>
      <c r="J10" s="10" t="b">
        <v>0</v>
      </c>
      <c r="K10" s="10" t="s">
        <v>36</v>
      </c>
      <c r="L10" s="10" t="s">
        <v>30</v>
      </c>
      <c r="M10" s="10">
        <v>230</v>
      </c>
      <c r="N10" s="10">
        <v>3</v>
      </c>
      <c r="O10" s="10" t="s">
        <v>49</v>
      </c>
      <c r="P10" s="10">
        <v>23</v>
      </c>
      <c r="Q10" s="10" t="s">
        <v>16</v>
      </c>
      <c r="R10" s="10" t="s">
        <v>17</v>
      </c>
      <c r="S10" s="10" t="b">
        <v>0</v>
      </c>
      <c r="T10" s="10">
        <v>3</v>
      </c>
      <c r="U10" s="10" t="s">
        <v>17</v>
      </c>
      <c r="V10" s="10" t="s">
        <v>17</v>
      </c>
      <c r="W10" s="10">
        <f t="shared" si="0"/>
        <v>10</v>
      </c>
      <c r="X10" s="10" t="s">
        <v>334</v>
      </c>
    </row>
    <row r="11" spans="1:24" x14ac:dyDescent="0.3">
      <c r="A11" s="9">
        <v>44490</v>
      </c>
      <c r="B11" s="10" t="s">
        <v>435</v>
      </c>
      <c r="C11" s="11">
        <v>6995</v>
      </c>
      <c r="D11" s="10">
        <v>2009</v>
      </c>
      <c r="E11" s="10" t="s">
        <v>42</v>
      </c>
      <c r="F11" s="10" t="s">
        <v>51</v>
      </c>
      <c r="G11" s="10" t="s">
        <v>52</v>
      </c>
      <c r="H11" s="10" t="s">
        <v>395</v>
      </c>
      <c r="I11" s="21">
        <v>127311</v>
      </c>
      <c r="J11" s="10" t="b">
        <v>0</v>
      </c>
      <c r="K11" s="10" t="s">
        <v>36</v>
      </c>
      <c r="L11" s="10" t="s">
        <v>30</v>
      </c>
      <c r="M11" s="10">
        <v>230</v>
      </c>
      <c r="N11" s="10">
        <v>3</v>
      </c>
      <c r="O11" s="10" t="s">
        <v>49</v>
      </c>
      <c r="P11" s="10">
        <v>23</v>
      </c>
      <c r="Q11" s="10" t="s">
        <v>16</v>
      </c>
      <c r="R11" s="10" t="s">
        <v>17</v>
      </c>
      <c r="S11" s="10" t="b">
        <v>0</v>
      </c>
      <c r="T11" s="10">
        <v>3</v>
      </c>
      <c r="U11" s="10" t="s">
        <v>17</v>
      </c>
      <c r="V11" s="10" t="s">
        <v>17</v>
      </c>
      <c r="W11" s="10">
        <f t="shared" si="0"/>
        <v>12</v>
      </c>
      <c r="X11" s="10" t="s">
        <v>334</v>
      </c>
    </row>
    <row r="12" spans="1:24" x14ac:dyDescent="0.3">
      <c r="A12" s="9">
        <v>44490</v>
      </c>
      <c r="B12" s="10" t="s">
        <v>436</v>
      </c>
      <c r="C12" s="11">
        <v>11495</v>
      </c>
      <c r="D12" s="10">
        <v>2012</v>
      </c>
      <c r="E12" s="10" t="s">
        <v>42</v>
      </c>
      <c r="F12" s="10" t="s">
        <v>51</v>
      </c>
      <c r="G12" s="10" t="s">
        <v>100</v>
      </c>
      <c r="H12" s="10" t="s">
        <v>395</v>
      </c>
      <c r="I12" s="21">
        <v>133051</v>
      </c>
      <c r="J12" s="10" t="b">
        <v>0</v>
      </c>
      <c r="K12" s="10" t="s">
        <v>36</v>
      </c>
      <c r="L12" s="10" t="s">
        <v>30</v>
      </c>
      <c r="M12" s="10">
        <v>300</v>
      </c>
      <c r="N12" s="10">
        <v>3</v>
      </c>
      <c r="O12" s="10" t="s">
        <v>49</v>
      </c>
      <c r="P12" s="10">
        <v>28</v>
      </c>
      <c r="Q12" s="10" t="s">
        <v>16</v>
      </c>
      <c r="R12" s="10" t="s">
        <v>17</v>
      </c>
      <c r="S12" s="10" t="b">
        <v>0</v>
      </c>
      <c r="T12" s="10">
        <v>3</v>
      </c>
      <c r="U12" s="10" t="s">
        <v>17</v>
      </c>
      <c r="V12" s="10" t="s">
        <v>17</v>
      </c>
      <c r="W12" s="10">
        <f t="shared" si="0"/>
        <v>9</v>
      </c>
      <c r="X12" s="10" t="s">
        <v>334</v>
      </c>
    </row>
    <row r="13" spans="1:24" x14ac:dyDescent="0.3">
      <c r="A13" s="9">
        <v>44490</v>
      </c>
      <c r="B13" s="10" t="s">
        <v>439</v>
      </c>
      <c r="C13" s="11">
        <v>23991</v>
      </c>
      <c r="D13" s="10">
        <v>2015</v>
      </c>
      <c r="E13" s="10" t="s">
        <v>42</v>
      </c>
      <c r="F13" s="10" t="s">
        <v>138</v>
      </c>
      <c r="G13" s="10" t="s">
        <v>440</v>
      </c>
      <c r="H13" s="10" t="s">
        <v>395</v>
      </c>
      <c r="I13" s="21">
        <v>96499</v>
      </c>
      <c r="J13" s="10" t="b">
        <v>0</v>
      </c>
      <c r="K13" s="10" t="s">
        <v>36</v>
      </c>
      <c r="L13" s="10" t="s">
        <v>30</v>
      </c>
      <c r="M13" s="10">
        <v>300</v>
      </c>
      <c r="N13" s="10">
        <v>3</v>
      </c>
      <c r="O13" s="10" t="s">
        <v>49</v>
      </c>
      <c r="P13" s="10">
        <v>26</v>
      </c>
      <c r="Q13" s="10" t="s">
        <v>16</v>
      </c>
      <c r="R13" s="10" t="s">
        <v>17</v>
      </c>
      <c r="S13" s="10" t="b">
        <v>0</v>
      </c>
      <c r="T13" s="10">
        <v>4</v>
      </c>
      <c r="U13" s="10" t="s">
        <v>17</v>
      </c>
      <c r="V13" s="10" t="s">
        <v>17</v>
      </c>
      <c r="W13" s="10">
        <f t="shared" si="0"/>
        <v>6</v>
      </c>
      <c r="X13" s="10" t="s">
        <v>334</v>
      </c>
    </row>
    <row r="14" spans="1:24" x14ac:dyDescent="0.3">
      <c r="A14" s="9">
        <v>44490</v>
      </c>
      <c r="B14" s="10" t="s">
        <v>441</v>
      </c>
      <c r="C14" s="11">
        <v>14499</v>
      </c>
      <c r="D14" s="10">
        <v>2011</v>
      </c>
      <c r="E14" s="10" t="s">
        <v>42</v>
      </c>
      <c r="F14" s="10" t="s">
        <v>442</v>
      </c>
      <c r="G14" s="10" t="s">
        <v>443</v>
      </c>
      <c r="H14" s="10" t="s">
        <v>395</v>
      </c>
      <c r="I14" s="21">
        <v>103079</v>
      </c>
      <c r="J14" s="10" t="b">
        <v>0</v>
      </c>
      <c r="K14" s="10" t="s">
        <v>36</v>
      </c>
      <c r="L14" s="10" t="s">
        <v>30</v>
      </c>
      <c r="M14" s="10">
        <v>315</v>
      </c>
      <c r="N14" s="10">
        <v>3</v>
      </c>
      <c r="O14" s="10" t="s">
        <v>49</v>
      </c>
      <c r="P14" s="10">
        <v>21</v>
      </c>
      <c r="Q14" s="10" t="s">
        <v>16</v>
      </c>
      <c r="R14" s="10" t="s">
        <v>17</v>
      </c>
      <c r="S14" s="10" t="b">
        <v>0</v>
      </c>
      <c r="T14" s="10">
        <v>4</v>
      </c>
      <c r="U14" s="10" t="s">
        <v>17</v>
      </c>
      <c r="V14" s="10" t="s">
        <v>17</v>
      </c>
      <c r="W14" s="10">
        <f t="shared" si="0"/>
        <v>10</v>
      </c>
      <c r="X14" s="10" t="s">
        <v>334</v>
      </c>
    </row>
    <row r="15" spans="1:24" x14ac:dyDescent="0.3">
      <c r="A15" s="9">
        <v>44490</v>
      </c>
      <c r="B15" s="10" t="s">
        <v>444</v>
      </c>
      <c r="C15" s="11">
        <v>10952</v>
      </c>
      <c r="D15" s="10">
        <v>2010</v>
      </c>
      <c r="E15" s="10" t="s">
        <v>42</v>
      </c>
      <c r="F15" s="10" t="s">
        <v>419</v>
      </c>
      <c r="G15" s="10" t="s">
        <v>445</v>
      </c>
      <c r="H15" s="10" t="s">
        <v>395</v>
      </c>
      <c r="I15" s="21">
        <v>127947</v>
      </c>
      <c r="J15" s="10" t="b">
        <v>0</v>
      </c>
      <c r="K15" s="10" t="s">
        <v>36</v>
      </c>
      <c r="L15" s="10" t="s">
        <v>30</v>
      </c>
      <c r="M15" s="10">
        <v>300</v>
      </c>
      <c r="N15" s="10">
        <v>3</v>
      </c>
      <c r="O15" s="10" t="s">
        <v>49</v>
      </c>
      <c r="P15" s="10">
        <v>21</v>
      </c>
      <c r="Q15" s="10" t="s">
        <v>16</v>
      </c>
      <c r="R15" s="10" t="s">
        <v>17</v>
      </c>
      <c r="S15" s="10" t="b">
        <v>0</v>
      </c>
      <c r="T15" s="10">
        <v>3</v>
      </c>
      <c r="U15" s="10" t="s">
        <v>17</v>
      </c>
      <c r="V15" s="10" t="s">
        <v>17</v>
      </c>
      <c r="W15" s="10">
        <f t="shared" si="0"/>
        <v>11</v>
      </c>
      <c r="X15" s="10" t="s">
        <v>334</v>
      </c>
    </row>
    <row r="16" spans="1:24" x14ac:dyDescent="0.3">
      <c r="A16" s="9">
        <v>44490</v>
      </c>
      <c r="B16" s="10" t="s">
        <v>448</v>
      </c>
      <c r="C16" s="11">
        <v>6990</v>
      </c>
      <c r="D16" s="10">
        <v>2002</v>
      </c>
      <c r="E16" s="10" t="s">
        <v>42</v>
      </c>
      <c r="F16" s="10" t="s">
        <v>419</v>
      </c>
      <c r="G16" s="10" t="s">
        <v>438</v>
      </c>
      <c r="H16" s="10" t="s">
        <v>395</v>
      </c>
      <c r="I16" s="21">
        <v>151519</v>
      </c>
      <c r="J16" s="10" t="b">
        <v>0</v>
      </c>
      <c r="K16" s="10" t="s">
        <v>36</v>
      </c>
      <c r="L16" s="10" t="s">
        <v>30</v>
      </c>
      <c r="M16" s="10">
        <v>184</v>
      </c>
      <c r="N16" s="10">
        <v>2.5</v>
      </c>
      <c r="O16" s="10" t="s">
        <v>49</v>
      </c>
      <c r="P16" s="10">
        <v>20</v>
      </c>
      <c r="Q16" s="10" t="s">
        <v>16</v>
      </c>
      <c r="R16" s="10" t="s">
        <v>17</v>
      </c>
      <c r="S16" s="10" t="b">
        <v>0</v>
      </c>
      <c r="T16" s="10">
        <v>3</v>
      </c>
      <c r="U16" s="10" t="s">
        <v>17</v>
      </c>
      <c r="V16" s="10" t="s">
        <v>17</v>
      </c>
      <c r="W16" s="10">
        <f t="shared" si="0"/>
        <v>19</v>
      </c>
      <c r="X16" s="10" t="s">
        <v>334</v>
      </c>
    </row>
    <row r="17" spans="1:24" x14ac:dyDescent="0.3">
      <c r="A17" s="9">
        <v>44490</v>
      </c>
      <c r="B17" s="10" t="s">
        <v>485</v>
      </c>
      <c r="C17" s="11">
        <v>10995</v>
      </c>
      <c r="D17" s="10">
        <v>2011</v>
      </c>
      <c r="E17" s="10" t="s">
        <v>42</v>
      </c>
      <c r="F17" s="10" t="s">
        <v>419</v>
      </c>
      <c r="G17" s="10" t="s">
        <v>486</v>
      </c>
      <c r="H17" s="10" t="s">
        <v>395</v>
      </c>
      <c r="I17" s="21">
        <v>78726</v>
      </c>
      <c r="J17" s="10" t="b">
        <v>0</v>
      </c>
      <c r="K17" s="10" t="s">
        <v>36</v>
      </c>
      <c r="L17" s="10" t="s">
        <v>30</v>
      </c>
      <c r="M17" s="10">
        <v>400</v>
      </c>
      <c r="N17" s="10">
        <v>4.4000000000000004</v>
      </c>
      <c r="O17" s="10" t="s">
        <v>74</v>
      </c>
      <c r="P17" s="10">
        <v>21</v>
      </c>
      <c r="Q17" s="10" t="s">
        <v>16</v>
      </c>
      <c r="R17" s="10" t="s">
        <v>17</v>
      </c>
      <c r="S17" s="10" t="b">
        <v>0</v>
      </c>
      <c r="T17" s="10">
        <v>2</v>
      </c>
      <c r="U17" s="10" t="s">
        <v>17</v>
      </c>
      <c r="V17" s="10" t="s">
        <v>25</v>
      </c>
      <c r="W17" s="10">
        <f t="shared" si="0"/>
        <v>10</v>
      </c>
      <c r="X17" s="10" t="s">
        <v>334</v>
      </c>
    </row>
    <row r="18" spans="1:24" x14ac:dyDescent="0.3">
      <c r="A18" s="9">
        <v>44490</v>
      </c>
      <c r="B18" s="10" t="s">
        <v>518</v>
      </c>
      <c r="C18" s="11">
        <v>28995</v>
      </c>
      <c r="D18" s="10">
        <v>2016</v>
      </c>
      <c r="E18" s="10" t="s">
        <v>42</v>
      </c>
      <c r="F18" s="10" t="s">
        <v>419</v>
      </c>
      <c r="G18" s="10" t="s">
        <v>486</v>
      </c>
      <c r="H18" s="10" t="s">
        <v>395</v>
      </c>
      <c r="I18" s="21">
        <v>72715</v>
      </c>
      <c r="J18" s="10" t="b">
        <v>0</v>
      </c>
      <c r="K18" s="10" t="s">
        <v>36</v>
      </c>
      <c r="L18" s="10" t="s">
        <v>30</v>
      </c>
      <c r="M18" s="10">
        <v>445</v>
      </c>
      <c r="N18" s="10">
        <v>4.4000000000000004</v>
      </c>
      <c r="O18" s="10" t="s">
        <v>74</v>
      </c>
      <c r="P18" s="10">
        <v>21</v>
      </c>
      <c r="Q18" s="10" t="s">
        <v>16</v>
      </c>
      <c r="R18" s="10" t="s">
        <v>17</v>
      </c>
      <c r="S18" s="10" t="b">
        <v>0</v>
      </c>
      <c r="T18" s="10">
        <v>2</v>
      </c>
      <c r="U18" s="10" t="s">
        <v>17</v>
      </c>
      <c r="V18" s="10" t="s">
        <v>17</v>
      </c>
      <c r="W18" s="10">
        <f t="shared" si="0"/>
        <v>5</v>
      </c>
      <c r="X18" s="10" t="s">
        <v>334</v>
      </c>
    </row>
    <row r="19" spans="1:24" x14ac:dyDescent="0.3">
      <c r="A19" s="9">
        <v>44490</v>
      </c>
      <c r="B19" s="10" t="s">
        <v>519</v>
      </c>
      <c r="C19" s="11">
        <v>17691</v>
      </c>
      <c r="D19" s="10">
        <v>2013</v>
      </c>
      <c r="E19" s="10" t="s">
        <v>42</v>
      </c>
      <c r="F19" s="10" t="s">
        <v>442</v>
      </c>
      <c r="G19" s="10" t="s">
        <v>520</v>
      </c>
      <c r="H19" s="10" t="s">
        <v>395</v>
      </c>
      <c r="I19" s="21">
        <v>105063</v>
      </c>
      <c r="J19" s="10" t="b">
        <v>0</v>
      </c>
      <c r="K19" s="10" t="s">
        <v>136</v>
      </c>
      <c r="L19" s="10" t="s">
        <v>30</v>
      </c>
      <c r="M19" s="10">
        <v>445</v>
      </c>
      <c r="N19" s="10">
        <v>4.4000000000000004</v>
      </c>
      <c r="O19" s="10" t="s">
        <v>74</v>
      </c>
      <c r="P19" s="10">
        <v>20</v>
      </c>
      <c r="Q19" s="10" t="s">
        <v>16</v>
      </c>
      <c r="R19" s="10" t="s">
        <v>17</v>
      </c>
      <c r="S19" s="10" t="b">
        <v>0</v>
      </c>
      <c r="T19" s="10">
        <v>3</v>
      </c>
      <c r="U19" s="10" t="s">
        <v>17</v>
      </c>
      <c r="V19" s="10" t="s">
        <v>17</v>
      </c>
      <c r="W19" s="10">
        <f t="shared" si="0"/>
        <v>8</v>
      </c>
      <c r="X19" s="10" t="s">
        <v>334</v>
      </c>
    </row>
    <row r="20" spans="1:24" x14ac:dyDescent="0.3">
      <c r="A20" s="9">
        <v>44490</v>
      </c>
      <c r="B20" s="10" t="s">
        <v>477</v>
      </c>
      <c r="C20" s="11">
        <v>15700</v>
      </c>
      <c r="D20" s="10">
        <v>2014</v>
      </c>
      <c r="E20" s="10" t="s">
        <v>144</v>
      </c>
      <c r="F20" s="10" t="s">
        <v>478</v>
      </c>
      <c r="G20" s="10" t="s">
        <v>479</v>
      </c>
      <c r="H20" s="10" t="s">
        <v>395</v>
      </c>
      <c r="I20" s="21">
        <v>57598</v>
      </c>
      <c r="J20" s="10" t="b">
        <v>0</v>
      </c>
      <c r="K20" s="10" t="s">
        <v>8</v>
      </c>
      <c r="L20" s="10" t="s">
        <v>30</v>
      </c>
      <c r="M20" s="10">
        <v>304</v>
      </c>
      <c r="N20" s="10">
        <v>3.6</v>
      </c>
      <c r="O20" s="10" t="s">
        <v>58</v>
      </c>
      <c r="P20" s="10">
        <v>23</v>
      </c>
      <c r="Q20" s="10" t="s">
        <v>16</v>
      </c>
      <c r="R20" s="10" t="s">
        <v>17</v>
      </c>
      <c r="S20" s="10" t="b">
        <v>1</v>
      </c>
      <c r="T20" s="10">
        <v>3</v>
      </c>
      <c r="U20" s="10" t="s">
        <v>17</v>
      </c>
      <c r="V20" s="10" t="s">
        <v>25</v>
      </c>
      <c r="W20" s="10">
        <f t="shared" si="0"/>
        <v>7</v>
      </c>
      <c r="X20" s="10" t="s">
        <v>335</v>
      </c>
    </row>
    <row r="21" spans="1:24" x14ac:dyDescent="0.3">
      <c r="A21" s="9">
        <v>44490</v>
      </c>
      <c r="B21" s="10" t="s">
        <v>506</v>
      </c>
      <c r="C21" s="11">
        <v>9895</v>
      </c>
      <c r="D21" s="10">
        <v>2011</v>
      </c>
      <c r="E21" s="10" t="s">
        <v>119</v>
      </c>
      <c r="F21" s="10" t="s">
        <v>493</v>
      </c>
      <c r="G21" s="10" t="s">
        <v>277</v>
      </c>
      <c r="H21" s="10" t="s">
        <v>395</v>
      </c>
      <c r="I21" s="21">
        <v>110000</v>
      </c>
      <c r="J21" s="10" t="b">
        <v>0</v>
      </c>
      <c r="K21" s="10" t="s">
        <v>8</v>
      </c>
      <c r="L21" s="10" t="s">
        <v>30</v>
      </c>
      <c r="M21" s="10">
        <v>275</v>
      </c>
      <c r="N21" s="10">
        <v>4.5999999999999996</v>
      </c>
      <c r="O21" s="10" t="s">
        <v>74</v>
      </c>
      <c r="P21" s="10">
        <v>19</v>
      </c>
      <c r="Q21" s="10" t="s">
        <v>16</v>
      </c>
      <c r="R21" s="10" t="s">
        <v>25</v>
      </c>
      <c r="S21" s="10" t="b">
        <v>0</v>
      </c>
      <c r="T21" s="10">
        <v>3</v>
      </c>
      <c r="U21" s="10" t="s">
        <v>17</v>
      </c>
      <c r="V21" s="10" t="s">
        <v>25</v>
      </c>
      <c r="W21" s="10">
        <f t="shared" si="0"/>
        <v>10</v>
      </c>
      <c r="X21" s="10" t="s">
        <v>335</v>
      </c>
    </row>
    <row r="22" spans="1:24" x14ac:dyDescent="0.3">
      <c r="A22" s="9">
        <v>44490</v>
      </c>
      <c r="B22" s="10" t="s">
        <v>459</v>
      </c>
      <c r="C22" s="11">
        <v>8999</v>
      </c>
      <c r="D22" s="10">
        <v>2012</v>
      </c>
      <c r="E22" s="10" t="s">
        <v>119</v>
      </c>
      <c r="F22" s="10" t="s">
        <v>460</v>
      </c>
      <c r="G22" s="10" t="s">
        <v>461</v>
      </c>
      <c r="H22" s="10" t="s">
        <v>395</v>
      </c>
      <c r="I22" s="21">
        <v>71000</v>
      </c>
      <c r="J22" s="10" t="b">
        <v>0</v>
      </c>
      <c r="K22" s="10" t="s">
        <v>36</v>
      </c>
      <c r="L22" s="10" t="s">
        <v>30</v>
      </c>
      <c r="M22" s="10">
        <v>270</v>
      </c>
      <c r="N22" s="10">
        <v>3</v>
      </c>
      <c r="O22" s="10" t="s">
        <v>58</v>
      </c>
      <c r="P22" s="10">
        <v>22</v>
      </c>
      <c r="Q22" s="10" t="s">
        <v>16</v>
      </c>
      <c r="R22" s="10" t="s">
        <v>17</v>
      </c>
      <c r="S22" s="10" t="b">
        <v>1</v>
      </c>
      <c r="T22" s="10">
        <v>2</v>
      </c>
      <c r="U22" s="10" t="s">
        <v>17</v>
      </c>
      <c r="V22" s="10" t="s">
        <v>17</v>
      </c>
      <c r="W22" s="10">
        <f t="shared" si="0"/>
        <v>9</v>
      </c>
      <c r="X22" s="10" t="s">
        <v>335</v>
      </c>
    </row>
    <row r="23" spans="1:24" x14ac:dyDescent="0.3">
      <c r="A23" s="9">
        <v>44490</v>
      </c>
      <c r="B23" s="10" t="s">
        <v>412</v>
      </c>
      <c r="C23" s="11">
        <v>14495</v>
      </c>
      <c r="D23" s="10">
        <v>2020</v>
      </c>
      <c r="E23" s="10" t="s">
        <v>76</v>
      </c>
      <c r="F23" s="10" t="s">
        <v>413</v>
      </c>
      <c r="G23" s="10" t="s">
        <v>414</v>
      </c>
      <c r="H23" s="10" t="s">
        <v>395</v>
      </c>
      <c r="I23" s="21">
        <v>7036</v>
      </c>
      <c r="J23" s="10" t="b">
        <v>0</v>
      </c>
      <c r="K23" s="10" t="s">
        <v>8</v>
      </c>
      <c r="L23" s="10" t="s">
        <v>30</v>
      </c>
      <c r="M23" s="10">
        <v>138</v>
      </c>
      <c r="N23" s="10">
        <v>1.4</v>
      </c>
      <c r="O23" s="10" t="s">
        <v>13</v>
      </c>
      <c r="P23" s="10">
        <v>30</v>
      </c>
      <c r="Q23" s="10" t="s">
        <v>16</v>
      </c>
      <c r="R23" s="10" t="s">
        <v>25</v>
      </c>
      <c r="S23" s="10" t="b">
        <v>1</v>
      </c>
      <c r="T23" s="10">
        <v>1</v>
      </c>
      <c r="U23" s="10" t="s">
        <v>17</v>
      </c>
      <c r="V23" s="10" t="s">
        <v>17</v>
      </c>
      <c r="W23" s="10">
        <f t="shared" si="0"/>
        <v>1</v>
      </c>
      <c r="X23" s="10" t="s">
        <v>335</v>
      </c>
    </row>
    <row r="24" spans="1:24" x14ac:dyDescent="0.3">
      <c r="A24" s="9">
        <v>44490</v>
      </c>
      <c r="B24" s="10" t="s">
        <v>449</v>
      </c>
      <c r="C24" s="11">
        <v>22687</v>
      </c>
      <c r="D24" s="10">
        <v>2018</v>
      </c>
      <c r="E24" s="10" t="s">
        <v>228</v>
      </c>
      <c r="F24" s="10" t="s">
        <v>450</v>
      </c>
      <c r="G24" s="10" t="s">
        <v>230</v>
      </c>
      <c r="H24" s="10" t="s">
        <v>395</v>
      </c>
      <c r="I24" s="21">
        <v>98338</v>
      </c>
      <c r="J24" s="10" t="b">
        <v>0</v>
      </c>
      <c r="K24" s="10" t="s">
        <v>36</v>
      </c>
      <c r="L24" s="10" t="s">
        <v>30</v>
      </c>
      <c r="M24" s="10">
        <v>292</v>
      </c>
      <c r="N24" s="10">
        <v>3.6</v>
      </c>
      <c r="O24" s="10" t="s">
        <v>58</v>
      </c>
      <c r="P24" s="10">
        <v>24</v>
      </c>
      <c r="Q24" s="10" t="s">
        <v>16</v>
      </c>
      <c r="R24" s="10" t="s">
        <v>17</v>
      </c>
      <c r="S24" s="10" t="b">
        <v>0</v>
      </c>
      <c r="T24" s="10">
        <v>1</v>
      </c>
      <c r="U24" s="10" t="s">
        <v>17</v>
      </c>
      <c r="V24" s="10" t="s">
        <v>17</v>
      </c>
      <c r="W24" s="10">
        <f t="shared" si="0"/>
        <v>3</v>
      </c>
      <c r="X24" s="10" t="s">
        <v>335</v>
      </c>
    </row>
    <row r="25" spans="1:24" x14ac:dyDescent="0.3">
      <c r="A25" s="9">
        <v>44490</v>
      </c>
      <c r="B25" s="10" t="s">
        <v>484</v>
      </c>
      <c r="C25" s="11">
        <v>24000</v>
      </c>
      <c r="D25" s="10">
        <v>2018</v>
      </c>
      <c r="E25" s="10" t="s">
        <v>228</v>
      </c>
      <c r="F25" s="10" t="s">
        <v>450</v>
      </c>
      <c r="G25" s="10" t="s">
        <v>236</v>
      </c>
      <c r="H25" s="10" t="s">
        <v>395</v>
      </c>
      <c r="I25" s="21">
        <v>67983</v>
      </c>
      <c r="J25" s="10" t="b">
        <v>0</v>
      </c>
      <c r="K25" s="10" t="s">
        <v>36</v>
      </c>
      <c r="L25" s="10" t="s">
        <v>30</v>
      </c>
      <c r="M25" s="10">
        <v>370</v>
      </c>
      <c r="N25" s="10">
        <v>5.7</v>
      </c>
      <c r="O25" s="10" t="s">
        <v>74</v>
      </c>
      <c r="P25" s="10">
        <v>20</v>
      </c>
      <c r="Q25" s="10" t="s">
        <v>16</v>
      </c>
      <c r="R25" s="10" t="s">
        <v>17</v>
      </c>
      <c r="S25" s="10" t="b">
        <v>0</v>
      </c>
      <c r="T25" s="10">
        <v>3</v>
      </c>
      <c r="U25" s="10" t="s">
        <v>25</v>
      </c>
      <c r="V25" s="10" t="s">
        <v>17</v>
      </c>
      <c r="W25" s="10">
        <f t="shared" si="0"/>
        <v>3</v>
      </c>
      <c r="X25" s="10" t="s">
        <v>335</v>
      </c>
    </row>
    <row r="26" spans="1:24" x14ac:dyDescent="0.3">
      <c r="A26" s="9">
        <v>44490</v>
      </c>
      <c r="B26" s="10" t="s">
        <v>504</v>
      </c>
      <c r="C26" s="11">
        <v>29299</v>
      </c>
      <c r="D26" s="10">
        <v>2018</v>
      </c>
      <c r="E26" s="10" t="s">
        <v>228</v>
      </c>
      <c r="F26" s="10" t="s">
        <v>450</v>
      </c>
      <c r="G26" s="10" t="s">
        <v>236</v>
      </c>
      <c r="H26" s="10" t="s">
        <v>395</v>
      </c>
      <c r="I26" s="21">
        <v>50764</v>
      </c>
      <c r="J26" s="10" t="b">
        <v>0</v>
      </c>
      <c r="K26" s="10" t="s">
        <v>36</v>
      </c>
      <c r="L26" s="10" t="s">
        <v>30</v>
      </c>
      <c r="M26" s="10">
        <v>370</v>
      </c>
      <c r="N26" s="10">
        <v>5.7</v>
      </c>
      <c r="O26" s="10" t="s">
        <v>74</v>
      </c>
      <c r="P26" s="10">
        <v>20</v>
      </c>
      <c r="Q26" s="10" t="s">
        <v>16</v>
      </c>
      <c r="R26" s="10" t="s">
        <v>17</v>
      </c>
      <c r="S26" s="10" t="b">
        <v>0</v>
      </c>
      <c r="T26" s="10">
        <v>1</v>
      </c>
      <c r="U26" s="10" t="s">
        <v>17</v>
      </c>
      <c r="V26" s="10" t="s">
        <v>17</v>
      </c>
      <c r="W26" s="10">
        <f t="shared" si="0"/>
        <v>3</v>
      </c>
      <c r="X26" s="10" t="s">
        <v>335</v>
      </c>
    </row>
    <row r="27" spans="1:24" x14ac:dyDescent="0.3">
      <c r="A27" s="9">
        <v>44490</v>
      </c>
      <c r="B27" s="10" t="s">
        <v>405</v>
      </c>
      <c r="C27" s="11">
        <v>8995</v>
      </c>
      <c r="D27" s="10">
        <v>2015</v>
      </c>
      <c r="E27" s="10" t="s">
        <v>63</v>
      </c>
      <c r="F27" s="10" t="s">
        <v>406</v>
      </c>
      <c r="G27" s="10" t="s">
        <v>261</v>
      </c>
      <c r="H27" s="10" t="s">
        <v>395</v>
      </c>
      <c r="I27" s="21">
        <v>114168</v>
      </c>
      <c r="J27" s="10" t="b">
        <v>0</v>
      </c>
      <c r="K27" s="10" t="s">
        <v>8</v>
      </c>
      <c r="L27" s="10" t="s">
        <v>30</v>
      </c>
      <c r="M27" s="10">
        <v>240</v>
      </c>
      <c r="N27" s="10">
        <v>2</v>
      </c>
      <c r="O27" s="10" t="s">
        <v>13</v>
      </c>
      <c r="P27" s="10">
        <v>27</v>
      </c>
      <c r="Q27" s="10" t="s">
        <v>16</v>
      </c>
      <c r="R27" s="10" t="s">
        <v>17</v>
      </c>
      <c r="S27" s="10" t="b">
        <v>1</v>
      </c>
      <c r="T27" s="10">
        <v>3</v>
      </c>
      <c r="U27" s="10" t="s">
        <v>25</v>
      </c>
      <c r="V27" s="10" t="s">
        <v>17</v>
      </c>
      <c r="W27" s="10">
        <f t="shared" si="0"/>
        <v>6</v>
      </c>
      <c r="X27" s="10" t="s">
        <v>335</v>
      </c>
    </row>
    <row r="28" spans="1:24" x14ac:dyDescent="0.3">
      <c r="A28" s="9">
        <v>44490</v>
      </c>
      <c r="B28" s="10" t="s">
        <v>451</v>
      </c>
      <c r="C28" s="11">
        <v>18554</v>
      </c>
      <c r="D28" s="10">
        <v>2016</v>
      </c>
      <c r="E28" s="10" t="s">
        <v>63</v>
      </c>
      <c r="F28" s="10" t="s">
        <v>452</v>
      </c>
      <c r="G28" s="10" t="s">
        <v>453</v>
      </c>
      <c r="H28" s="10" t="s">
        <v>395</v>
      </c>
      <c r="I28" s="21">
        <v>65441</v>
      </c>
      <c r="J28" s="10" t="b">
        <v>0</v>
      </c>
      <c r="K28" s="10" t="s">
        <v>8</v>
      </c>
      <c r="L28" s="10" t="s">
        <v>30</v>
      </c>
      <c r="M28" s="10">
        <v>288</v>
      </c>
      <c r="N28" s="10">
        <v>3.5</v>
      </c>
      <c r="O28" s="10" t="s">
        <v>58</v>
      </c>
      <c r="P28" s="10">
        <v>22</v>
      </c>
      <c r="Q28" s="10" t="s">
        <v>16</v>
      </c>
      <c r="R28" s="10" t="s">
        <v>17</v>
      </c>
      <c r="S28" s="10" t="b">
        <v>0</v>
      </c>
      <c r="T28" s="10">
        <v>1</v>
      </c>
      <c r="U28" s="10" t="s">
        <v>17</v>
      </c>
      <c r="V28" s="10" t="s">
        <v>17</v>
      </c>
      <c r="W28" s="10">
        <f t="shared" si="0"/>
        <v>5</v>
      </c>
      <c r="X28" s="10" t="s">
        <v>335</v>
      </c>
    </row>
    <row r="29" spans="1:24" x14ac:dyDescent="0.3">
      <c r="A29" s="9">
        <v>44490</v>
      </c>
      <c r="B29" s="10" t="s">
        <v>532</v>
      </c>
      <c r="C29" s="11">
        <v>29198</v>
      </c>
      <c r="D29" s="10">
        <v>2017</v>
      </c>
      <c r="E29" s="10" t="s">
        <v>469</v>
      </c>
      <c r="F29" s="10" t="s">
        <v>533</v>
      </c>
      <c r="G29" s="10" t="s">
        <v>534</v>
      </c>
      <c r="H29" s="10" t="s">
        <v>395</v>
      </c>
      <c r="I29" s="21">
        <v>20743</v>
      </c>
      <c r="J29" s="10" t="b">
        <v>0</v>
      </c>
      <c r="K29" s="10" t="s">
        <v>36</v>
      </c>
      <c r="L29" s="10" t="s">
        <v>30</v>
      </c>
      <c r="M29" s="10">
        <v>311</v>
      </c>
      <c r="N29" s="10">
        <v>3.8</v>
      </c>
      <c r="O29" s="10" t="s">
        <v>58</v>
      </c>
      <c r="P29" s="10">
        <v>23</v>
      </c>
      <c r="Q29" s="10" t="s">
        <v>16</v>
      </c>
      <c r="R29" s="10" t="s">
        <v>17</v>
      </c>
      <c r="S29" s="10" t="b">
        <v>0</v>
      </c>
      <c r="T29" s="10">
        <v>1</v>
      </c>
      <c r="U29" s="10" t="s">
        <v>17</v>
      </c>
      <c r="V29" s="10" t="s">
        <v>17</v>
      </c>
      <c r="W29" s="10">
        <f t="shared" si="0"/>
        <v>4</v>
      </c>
      <c r="X29" s="10" t="s">
        <v>537</v>
      </c>
    </row>
    <row r="30" spans="1:24" x14ac:dyDescent="0.3">
      <c r="A30" s="9">
        <v>44490</v>
      </c>
      <c r="B30" s="10" t="s">
        <v>535</v>
      </c>
      <c r="C30" s="11">
        <v>28990</v>
      </c>
      <c r="D30" s="10">
        <v>2018</v>
      </c>
      <c r="E30" s="10" t="s">
        <v>469</v>
      </c>
      <c r="F30" s="10" t="s">
        <v>533</v>
      </c>
      <c r="G30" s="10" t="s">
        <v>534</v>
      </c>
      <c r="H30" s="10" t="s">
        <v>395</v>
      </c>
      <c r="I30" s="21">
        <v>44068</v>
      </c>
      <c r="J30" s="10" t="b">
        <v>0</v>
      </c>
      <c r="K30" s="10" t="s">
        <v>36</v>
      </c>
      <c r="L30" s="10" t="s">
        <v>30</v>
      </c>
      <c r="M30" s="10">
        <v>311</v>
      </c>
      <c r="N30" s="10">
        <v>3.8</v>
      </c>
      <c r="O30" s="10" t="s">
        <v>58</v>
      </c>
      <c r="P30" s="10">
        <v>23</v>
      </c>
      <c r="Q30" s="10" t="s">
        <v>16</v>
      </c>
      <c r="R30" s="10" t="s">
        <v>17</v>
      </c>
      <c r="S30" s="10" t="b">
        <v>0</v>
      </c>
      <c r="T30" s="10">
        <v>1</v>
      </c>
      <c r="U30" s="10" t="s">
        <v>17</v>
      </c>
      <c r="V30" s="10" t="s">
        <v>17</v>
      </c>
      <c r="W30" s="10">
        <f t="shared" si="0"/>
        <v>3</v>
      </c>
      <c r="X30" s="10" t="s">
        <v>537</v>
      </c>
    </row>
    <row r="31" spans="1:24" x14ac:dyDescent="0.3">
      <c r="A31" s="9">
        <v>44490</v>
      </c>
      <c r="B31" s="10" t="s">
        <v>536</v>
      </c>
      <c r="C31" s="11">
        <v>25990</v>
      </c>
      <c r="D31" s="10">
        <v>2018</v>
      </c>
      <c r="E31" s="10" t="s">
        <v>469</v>
      </c>
      <c r="F31" s="10" t="s">
        <v>533</v>
      </c>
      <c r="G31" s="10" t="s">
        <v>534</v>
      </c>
      <c r="H31" s="10" t="s">
        <v>395</v>
      </c>
      <c r="I31" s="21">
        <v>72770</v>
      </c>
      <c r="J31" s="10" t="b">
        <v>0</v>
      </c>
      <c r="K31" s="10" t="s">
        <v>36</v>
      </c>
      <c r="L31" s="10" t="s">
        <v>30</v>
      </c>
      <c r="M31" s="10">
        <v>311</v>
      </c>
      <c r="N31" s="10">
        <v>3.8</v>
      </c>
      <c r="O31" s="10" t="s">
        <v>58</v>
      </c>
      <c r="P31" s="10">
        <v>23</v>
      </c>
      <c r="Q31" s="10" t="s">
        <v>16</v>
      </c>
      <c r="R31" s="10" t="s">
        <v>17</v>
      </c>
      <c r="S31" s="10" t="b">
        <v>0</v>
      </c>
      <c r="T31" s="10">
        <v>2</v>
      </c>
      <c r="U31" s="10" t="s">
        <v>17</v>
      </c>
      <c r="V31" s="10" t="s">
        <v>17</v>
      </c>
      <c r="W31" s="10">
        <f t="shared" si="0"/>
        <v>3</v>
      </c>
      <c r="X31" s="10" t="s">
        <v>537</v>
      </c>
    </row>
    <row r="32" spans="1:24" x14ac:dyDescent="0.3">
      <c r="A32" s="9">
        <v>44490</v>
      </c>
      <c r="B32" s="10" t="s">
        <v>417</v>
      </c>
      <c r="C32" s="11">
        <v>10495</v>
      </c>
      <c r="D32" s="10">
        <v>2015</v>
      </c>
      <c r="E32" s="10" t="s">
        <v>168</v>
      </c>
      <c r="F32" s="10" t="s">
        <v>195</v>
      </c>
      <c r="G32" s="10" t="s">
        <v>287</v>
      </c>
      <c r="H32" s="10" t="s">
        <v>395</v>
      </c>
      <c r="I32" s="21">
        <v>148125</v>
      </c>
      <c r="J32" s="10" t="b">
        <v>0</v>
      </c>
      <c r="K32" s="10" t="s">
        <v>8</v>
      </c>
      <c r="L32" s="10" t="s">
        <v>30</v>
      </c>
      <c r="M32" s="10">
        <v>185</v>
      </c>
      <c r="N32" s="10">
        <v>2.4</v>
      </c>
      <c r="O32" s="10" t="s">
        <v>13</v>
      </c>
      <c r="P32" s="10">
        <v>31</v>
      </c>
      <c r="Q32" s="10" t="s">
        <v>16</v>
      </c>
      <c r="R32" s="10" t="s">
        <v>25</v>
      </c>
      <c r="S32" s="10" t="b">
        <v>1</v>
      </c>
      <c r="T32" s="10">
        <v>3</v>
      </c>
      <c r="U32" s="10" t="s">
        <v>17</v>
      </c>
      <c r="V32" s="10" t="s">
        <v>17</v>
      </c>
      <c r="W32" s="10">
        <f t="shared" si="0"/>
        <v>6</v>
      </c>
      <c r="X32" s="10" t="s">
        <v>333</v>
      </c>
    </row>
    <row r="33" spans="1:24" x14ac:dyDescent="0.3">
      <c r="A33" s="9">
        <v>44490</v>
      </c>
      <c r="B33" s="10" t="s">
        <v>432</v>
      </c>
      <c r="C33" s="11">
        <v>19999</v>
      </c>
      <c r="D33" s="10">
        <v>2019</v>
      </c>
      <c r="E33" s="10" t="s">
        <v>168</v>
      </c>
      <c r="F33" s="10" t="s">
        <v>169</v>
      </c>
      <c r="G33" s="10" t="s">
        <v>198</v>
      </c>
      <c r="H33" s="10" t="s">
        <v>395</v>
      </c>
      <c r="I33" s="21">
        <v>32268</v>
      </c>
      <c r="J33" s="10" t="b">
        <v>0</v>
      </c>
      <c r="K33" s="10" t="s">
        <v>8</v>
      </c>
      <c r="L33" s="10" t="s">
        <v>30</v>
      </c>
      <c r="M33" s="10">
        <v>158</v>
      </c>
      <c r="N33" s="10">
        <v>2</v>
      </c>
      <c r="O33" s="10" t="s">
        <v>13</v>
      </c>
      <c r="P33" s="10">
        <v>33</v>
      </c>
      <c r="Q33" s="10" t="s">
        <v>16</v>
      </c>
      <c r="R33" s="10" t="s">
        <v>17</v>
      </c>
      <c r="S33" s="10" t="b">
        <v>1</v>
      </c>
      <c r="T33" s="10">
        <v>1</v>
      </c>
      <c r="U33" s="10" t="s">
        <v>17</v>
      </c>
      <c r="V33" s="10" t="s">
        <v>17</v>
      </c>
      <c r="W33" s="10">
        <f t="shared" si="0"/>
        <v>2</v>
      </c>
      <c r="X33" s="10" t="s">
        <v>333</v>
      </c>
    </row>
    <row r="34" spans="1:24" x14ac:dyDescent="0.3">
      <c r="A34" s="9">
        <v>44490</v>
      </c>
      <c r="B34" s="10" t="s">
        <v>404</v>
      </c>
      <c r="C34" s="11">
        <v>21950</v>
      </c>
      <c r="D34" s="10">
        <v>2019</v>
      </c>
      <c r="E34" s="10" t="s">
        <v>168</v>
      </c>
      <c r="F34" s="10" t="s">
        <v>169</v>
      </c>
      <c r="G34" s="10" t="s">
        <v>170</v>
      </c>
      <c r="H34" s="10" t="s">
        <v>395</v>
      </c>
      <c r="I34" s="21">
        <v>39450</v>
      </c>
      <c r="J34" s="10" t="b">
        <v>0</v>
      </c>
      <c r="K34" s="10" t="s">
        <v>8</v>
      </c>
      <c r="L34" s="10" t="s">
        <v>30</v>
      </c>
      <c r="M34" s="10">
        <v>158</v>
      </c>
      <c r="N34" s="10">
        <v>2</v>
      </c>
      <c r="O34" s="10" t="s">
        <v>13</v>
      </c>
      <c r="P34" s="10">
        <v>34</v>
      </c>
      <c r="Q34" s="10" t="s">
        <v>16</v>
      </c>
      <c r="R34" s="10" t="s">
        <v>17</v>
      </c>
      <c r="S34" s="10" t="b">
        <v>0</v>
      </c>
      <c r="T34" s="10">
        <v>1</v>
      </c>
      <c r="U34" s="10" t="s">
        <v>17</v>
      </c>
      <c r="V34" s="10" t="s">
        <v>17</v>
      </c>
      <c r="W34" s="10">
        <f t="shared" ref="W34:W65" si="1">2021-D34</f>
        <v>2</v>
      </c>
      <c r="X34" s="10" t="s">
        <v>333</v>
      </c>
    </row>
    <row r="35" spans="1:24" x14ac:dyDescent="0.3">
      <c r="A35" s="9">
        <v>44490</v>
      </c>
      <c r="B35" s="10" t="s">
        <v>410</v>
      </c>
      <c r="C35" s="11">
        <v>13450</v>
      </c>
      <c r="D35" s="10">
        <v>2017</v>
      </c>
      <c r="E35" s="10" t="s">
        <v>177</v>
      </c>
      <c r="F35" s="10" t="s">
        <v>411</v>
      </c>
      <c r="G35" s="10" t="s">
        <v>204</v>
      </c>
      <c r="H35" s="10" t="s">
        <v>395</v>
      </c>
      <c r="I35" s="21">
        <v>47112</v>
      </c>
      <c r="J35" s="10" t="b">
        <v>0</v>
      </c>
      <c r="K35" s="10" t="s">
        <v>8</v>
      </c>
      <c r="L35" s="10" t="s">
        <v>30</v>
      </c>
      <c r="M35" s="10">
        <v>147</v>
      </c>
      <c r="N35" s="10">
        <v>2</v>
      </c>
      <c r="O35" s="10" t="s">
        <v>13</v>
      </c>
      <c r="P35" s="10">
        <v>32</v>
      </c>
      <c r="Q35" s="10" t="s">
        <v>16</v>
      </c>
      <c r="R35" s="10" t="s">
        <v>17</v>
      </c>
      <c r="S35" s="10" t="b">
        <v>0</v>
      </c>
      <c r="T35" s="10">
        <v>2</v>
      </c>
      <c r="U35" s="10" t="s">
        <v>17</v>
      </c>
      <c r="V35" s="10" t="s">
        <v>17</v>
      </c>
      <c r="W35" s="10">
        <f t="shared" si="1"/>
        <v>4</v>
      </c>
      <c r="X35" s="10" t="s">
        <v>537</v>
      </c>
    </row>
    <row r="36" spans="1:24" x14ac:dyDescent="0.3">
      <c r="A36" s="9">
        <v>44490</v>
      </c>
      <c r="B36" s="10" t="s">
        <v>468</v>
      </c>
      <c r="C36" s="11">
        <v>13995</v>
      </c>
      <c r="D36" s="10">
        <v>2015</v>
      </c>
      <c r="E36" s="10" t="s">
        <v>177</v>
      </c>
      <c r="F36" s="10" t="s">
        <v>469</v>
      </c>
      <c r="G36" s="10">
        <v>3.8</v>
      </c>
      <c r="H36" s="10" t="s">
        <v>395</v>
      </c>
      <c r="I36" s="21">
        <v>101000</v>
      </c>
      <c r="J36" s="10" t="b">
        <v>0</v>
      </c>
      <c r="K36" s="10" t="s">
        <v>36</v>
      </c>
      <c r="L36" s="10" t="s">
        <v>30</v>
      </c>
      <c r="M36" s="10">
        <v>311</v>
      </c>
      <c r="N36" s="10">
        <v>3.8</v>
      </c>
      <c r="O36" s="10" t="s">
        <v>58</v>
      </c>
      <c r="P36" s="10">
        <v>23</v>
      </c>
      <c r="Q36" s="10" t="s">
        <v>16</v>
      </c>
      <c r="R36" s="10" t="s">
        <v>25</v>
      </c>
      <c r="S36" s="10" t="b">
        <v>0</v>
      </c>
      <c r="T36" s="10">
        <v>3</v>
      </c>
      <c r="U36" s="10" t="s">
        <v>17</v>
      </c>
      <c r="V36" s="10" t="s">
        <v>17</v>
      </c>
      <c r="W36" s="10">
        <f t="shared" si="1"/>
        <v>6</v>
      </c>
      <c r="X36" s="10" t="s">
        <v>537</v>
      </c>
    </row>
    <row r="37" spans="1:24" x14ac:dyDescent="0.3">
      <c r="A37" s="9">
        <v>44490</v>
      </c>
      <c r="B37" s="10" t="s">
        <v>494</v>
      </c>
      <c r="C37" s="11">
        <v>14991</v>
      </c>
      <c r="D37" s="10">
        <v>2013</v>
      </c>
      <c r="E37" s="10" t="s">
        <v>177</v>
      </c>
      <c r="F37" s="10" t="s">
        <v>495</v>
      </c>
      <c r="G37" s="10" t="s">
        <v>496</v>
      </c>
      <c r="H37" s="10" t="s">
        <v>395</v>
      </c>
      <c r="I37" s="21">
        <v>80638</v>
      </c>
      <c r="J37" s="10" t="b">
        <v>0</v>
      </c>
      <c r="K37" s="10" t="s">
        <v>36</v>
      </c>
      <c r="L37" s="10" t="s">
        <v>30</v>
      </c>
      <c r="M37" s="10">
        <v>429</v>
      </c>
      <c r="N37" s="10">
        <v>5</v>
      </c>
      <c r="O37" s="10" t="s">
        <v>74</v>
      </c>
      <c r="P37" s="10">
        <v>19</v>
      </c>
      <c r="Q37" s="10" t="s">
        <v>16</v>
      </c>
      <c r="R37" s="10" t="s">
        <v>17</v>
      </c>
      <c r="S37" s="10" t="b">
        <v>0</v>
      </c>
      <c r="T37" s="10">
        <v>2</v>
      </c>
      <c r="U37" s="10" t="s">
        <v>17</v>
      </c>
      <c r="V37" s="10" t="s">
        <v>17</v>
      </c>
      <c r="W37" s="10">
        <f t="shared" si="1"/>
        <v>8</v>
      </c>
      <c r="X37" s="10" t="s">
        <v>537</v>
      </c>
    </row>
    <row r="38" spans="1:24" x14ac:dyDescent="0.3">
      <c r="A38" s="9">
        <v>44490</v>
      </c>
      <c r="B38" s="10" t="s">
        <v>497</v>
      </c>
      <c r="C38" s="11">
        <v>14000</v>
      </c>
      <c r="D38" s="10">
        <v>2013</v>
      </c>
      <c r="E38" s="10" t="s">
        <v>177</v>
      </c>
      <c r="F38" s="10" t="s">
        <v>495</v>
      </c>
      <c r="G38" s="10" t="s">
        <v>496</v>
      </c>
      <c r="H38" s="10" t="s">
        <v>395</v>
      </c>
      <c r="I38" s="21">
        <v>94563</v>
      </c>
      <c r="J38" s="10" t="b">
        <v>0</v>
      </c>
      <c r="K38" s="10" t="s">
        <v>36</v>
      </c>
      <c r="L38" s="10" t="s">
        <v>30</v>
      </c>
      <c r="M38" s="10">
        <v>429</v>
      </c>
      <c r="N38" s="10">
        <v>5</v>
      </c>
      <c r="O38" s="10" t="s">
        <v>74</v>
      </c>
      <c r="P38" s="10">
        <v>19</v>
      </c>
      <c r="Q38" s="10" t="s">
        <v>16</v>
      </c>
      <c r="R38" s="10" t="s">
        <v>17</v>
      </c>
      <c r="S38" s="10" t="b">
        <v>0</v>
      </c>
      <c r="T38" s="10">
        <v>1</v>
      </c>
      <c r="U38" s="10" t="s">
        <v>17</v>
      </c>
      <c r="V38" s="10" t="s">
        <v>17</v>
      </c>
      <c r="W38" s="10">
        <f t="shared" si="1"/>
        <v>8</v>
      </c>
      <c r="X38" s="10" t="s">
        <v>537</v>
      </c>
    </row>
    <row r="39" spans="1:24" x14ac:dyDescent="0.3">
      <c r="A39" s="9">
        <v>44490</v>
      </c>
      <c r="B39" s="10" t="s">
        <v>521</v>
      </c>
      <c r="C39" s="11">
        <v>14991</v>
      </c>
      <c r="D39" s="10">
        <v>2012</v>
      </c>
      <c r="E39" s="10" t="s">
        <v>177</v>
      </c>
      <c r="F39" s="10" t="s">
        <v>469</v>
      </c>
      <c r="G39" s="22" t="s">
        <v>522</v>
      </c>
      <c r="H39" s="10" t="s">
        <v>395</v>
      </c>
      <c r="I39" s="21">
        <v>50405</v>
      </c>
      <c r="J39" s="10" t="b">
        <v>0</v>
      </c>
      <c r="K39" s="10" t="s">
        <v>36</v>
      </c>
      <c r="L39" s="10" t="s">
        <v>30</v>
      </c>
      <c r="M39" s="10">
        <v>429</v>
      </c>
      <c r="N39" s="10">
        <v>5</v>
      </c>
      <c r="O39" s="10" t="s">
        <v>74</v>
      </c>
      <c r="P39" s="10">
        <v>21</v>
      </c>
      <c r="Q39" s="10" t="s">
        <v>16</v>
      </c>
      <c r="R39" s="10" t="s">
        <v>17</v>
      </c>
      <c r="S39" s="10" t="b">
        <v>0</v>
      </c>
      <c r="T39" s="10">
        <v>2</v>
      </c>
      <c r="U39" s="10" t="s">
        <v>17</v>
      </c>
      <c r="V39" s="10" t="s">
        <v>17</v>
      </c>
      <c r="W39" s="10">
        <f t="shared" si="1"/>
        <v>9</v>
      </c>
      <c r="X39" s="10" t="s">
        <v>537</v>
      </c>
    </row>
    <row r="40" spans="1:24" x14ac:dyDescent="0.3">
      <c r="A40" s="9">
        <v>44490</v>
      </c>
      <c r="B40" s="10" t="s">
        <v>429</v>
      </c>
      <c r="C40" s="11">
        <v>8900</v>
      </c>
      <c r="D40" s="10">
        <v>2014</v>
      </c>
      <c r="E40" s="10" t="s">
        <v>177</v>
      </c>
      <c r="F40" s="10" t="s">
        <v>430</v>
      </c>
      <c r="G40" s="10" t="s">
        <v>431</v>
      </c>
      <c r="H40" s="10" t="s">
        <v>395</v>
      </c>
      <c r="I40" s="21">
        <v>94033</v>
      </c>
      <c r="J40" s="10" t="b">
        <v>0</v>
      </c>
      <c r="K40" s="10" t="s">
        <v>8</v>
      </c>
      <c r="L40" s="10" t="s">
        <v>30</v>
      </c>
      <c r="M40" s="10">
        <v>198</v>
      </c>
      <c r="N40" s="10">
        <v>2.4</v>
      </c>
      <c r="O40" s="10" t="s">
        <v>13</v>
      </c>
      <c r="P40" s="10">
        <v>29</v>
      </c>
      <c r="Q40" s="10" t="s">
        <v>16</v>
      </c>
      <c r="R40" s="10" t="s">
        <v>25</v>
      </c>
      <c r="S40" s="10" t="b">
        <v>1</v>
      </c>
      <c r="T40" s="10">
        <v>5</v>
      </c>
      <c r="U40" s="10" t="s">
        <v>17</v>
      </c>
      <c r="V40" s="10" t="s">
        <v>17</v>
      </c>
      <c r="W40" s="10">
        <f t="shared" si="1"/>
        <v>7</v>
      </c>
      <c r="X40" s="10" t="s">
        <v>537</v>
      </c>
    </row>
    <row r="41" spans="1:24" x14ac:dyDescent="0.3">
      <c r="A41" s="9">
        <v>44490</v>
      </c>
      <c r="B41" s="10" t="s">
        <v>456</v>
      </c>
      <c r="C41" s="11">
        <v>18999</v>
      </c>
      <c r="D41" s="10">
        <v>2015</v>
      </c>
      <c r="E41" s="10" t="s">
        <v>60</v>
      </c>
      <c r="F41" s="10" t="s">
        <v>457</v>
      </c>
      <c r="G41" s="10" t="s">
        <v>458</v>
      </c>
      <c r="H41" s="10" t="s">
        <v>395</v>
      </c>
      <c r="I41" s="21">
        <v>62035</v>
      </c>
      <c r="J41" s="10" t="b">
        <v>0</v>
      </c>
      <c r="K41" s="10" t="s">
        <v>36</v>
      </c>
      <c r="L41" s="10" t="s">
        <v>30</v>
      </c>
      <c r="M41" s="10">
        <v>328</v>
      </c>
      <c r="N41" s="10">
        <v>3.7</v>
      </c>
      <c r="O41" s="10" t="s">
        <v>58</v>
      </c>
      <c r="P41" s="10">
        <v>24</v>
      </c>
      <c r="Q41" s="10" t="s">
        <v>16</v>
      </c>
      <c r="R41" s="10" t="s">
        <v>17</v>
      </c>
      <c r="S41" s="10" t="b">
        <v>1</v>
      </c>
      <c r="T41" s="10">
        <v>4</v>
      </c>
      <c r="U41" s="10" t="s">
        <v>17</v>
      </c>
      <c r="V41" s="10" t="s">
        <v>17</v>
      </c>
      <c r="W41" s="10">
        <f t="shared" si="1"/>
        <v>6</v>
      </c>
      <c r="X41" s="10" t="s">
        <v>333</v>
      </c>
    </row>
    <row r="42" spans="1:24" x14ac:dyDescent="0.3">
      <c r="A42" s="9">
        <v>44490</v>
      </c>
      <c r="B42" s="10" t="s">
        <v>482</v>
      </c>
      <c r="C42" s="11">
        <v>20995</v>
      </c>
      <c r="D42" s="10">
        <v>2011</v>
      </c>
      <c r="E42" s="10" t="s">
        <v>128</v>
      </c>
      <c r="F42" s="10" t="s">
        <v>467</v>
      </c>
      <c r="G42" s="10" t="s">
        <v>483</v>
      </c>
      <c r="H42" s="10" t="s">
        <v>395</v>
      </c>
      <c r="I42" s="21">
        <v>66681</v>
      </c>
      <c r="J42" s="10" t="b">
        <v>0</v>
      </c>
      <c r="K42" s="10" t="s">
        <v>36</v>
      </c>
      <c r="L42" s="10" t="s">
        <v>30</v>
      </c>
      <c r="M42" s="10">
        <v>510</v>
      </c>
      <c r="N42" s="10">
        <v>5</v>
      </c>
      <c r="O42" s="10" t="s">
        <v>74</v>
      </c>
      <c r="P42" s="10">
        <v>18</v>
      </c>
      <c r="Q42" s="10" t="s">
        <v>16</v>
      </c>
      <c r="R42" s="10" t="s">
        <v>17</v>
      </c>
      <c r="S42" s="10" t="b">
        <v>1</v>
      </c>
      <c r="T42" s="10">
        <v>2</v>
      </c>
      <c r="U42" s="10" t="s">
        <v>17</v>
      </c>
      <c r="V42" s="10" t="s">
        <v>17</v>
      </c>
      <c r="W42" s="10">
        <f t="shared" si="1"/>
        <v>10</v>
      </c>
      <c r="X42" s="10" t="s">
        <v>337</v>
      </c>
    </row>
    <row r="43" spans="1:24" x14ac:dyDescent="0.3">
      <c r="A43" s="9">
        <v>44490</v>
      </c>
      <c r="B43" s="10" t="s">
        <v>501</v>
      </c>
      <c r="C43" s="11">
        <v>8995</v>
      </c>
      <c r="D43" s="10">
        <v>2009</v>
      </c>
      <c r="E43" s="10" t="s">
        <v>128</v>
      </c>
      <c r="F43" s="10" t="s">
        <v>463</v>
      </c>
      <c r="G43" s="10" t="s">
        <v>45</v>
      </c>
      <c r="H43" s="10" t="s">
        <v>395</v>
      </c>
      <c r="I43" s="21">
        <v>90829</v>
      </c>
      <c r="J43" s="10" t="b">
        <v>0</v>
      </c>
      <c r="K43" s="10" t="s">
        <v>36</v>
      </c>
      <c r="L43" s="10" t="s">
        <v>30</v>
      </c>
      <c r="M43" s="10">
        <v>420</v>
      </c>
      <c r="N43" s="10">
        <v>4.2</v>
      </c>
      <c r="O43" s="10" t="s">
        <v>74</v>
      </c>
      <c r="P43" s="10">
        <v>19</v>
      </c>
      <c r="Q43" s="10" t="s">
        <v>16</v>
      </c>
      <c r="R43" s="10" t="s">
        <v>17</v>
      </c>
      <c r="S43" s="10" t="b">
        <v>1</v>
      </c>
      <c r="T43" s="10">
        <v>4</v>
      </c>
      <c r="U43" s="10" t="s">
        <v>17</v>
      </c>
      <c r="V43" s="10" t="s">
        <v>17</v>
      </c>
      <c r="W43" s="10">
        <f t="shared" si="1"/>
        <v>12</v>
      </c>
      <c r="X43" s="10" t="s">
        <v>337</v>
      </c>
    </row>
    <row r="44" spans="1:24" x14ac:dyDescent="0.3">
      <c r="A44" s="9">
        <v>44490</v>
      </c>
      <c r="B44" s="10" t="s">
        <v>526</v>
      </c>
      <c r="C44" s="11">
        <v>13999</v>
      </c>
      <c r="D44" s="10">
        <v>2009</v>
      </c>
      <c r="E44" s="10" t="s">
        <v>128</v>
      </c>
      <c r="F44" s="10" t="s">
        <v>463</v>
      </c>
      <c r="G44" s="10" t="s">
        <v>527</v>
      </c>
      <c r="H44" s="10" t="s">
        <v>395</v>
      </c>
      <c r="I44" s="21">
        <v>49500</v>
      </c>
      <c r="J44" s="10" t="b">
        <v>0</v>
      </c>
      <c r="K44" s="10" t="s">
        <v>36</v>
      </c>
      <c r="L44" s="10" t="s">
        <v>30</v>
      </c>
      <c r="M44" s="10">
        <v>300</v>
      </c>
      <c r="N44" s="10">
        <v>4.2</v>
      </c>
      <c r="O44" s="10" t="s">
        <v>74</v>
      </c>
      <c r="P44" s="10">
        <v>20</v>
      </c>
      <c r="Q44" s="10" t="s">
        <v>16</v>
      </c>
      <c r="R44" s="10" t="s">
        <v>17</v>
      </c>
      <c r="S44" s="10" t="b">
        <v>0</v>
      </c>
      <c r="T44" s="10">
        <v>3</v>
      </c>
      <c r="U44" s="10" t="s">
        <v>17</v>
      </c>
      <c r="V44" s="10" t="s">
        <v>17</v>
      </c>
      <c r="W44" s="10">
        <f t="shared" si="1"/>
        <v>12</v>
      </c>
      <c r="X44" s="10" t="s">
        <v>337</v>
      </c>
    </row>
    <row r="45" spans="1:24" x14ac:dyDescent="0.3">
      <c r="A45" s="9">
        <v>44490</v>
      </c>
      <c r="B45" s="10" t="s">
        <v>462</v>
      </c>
      <c r="C45" s="11">
        <v>16950</v>
      </c>
      <c r="D45" s="10">
        <v>2017</v>
      </c>
      <c r="E45" s="10" t="s">
        <v>128</v>
      </c>
      <c r="F45" s="10" t="s">
        <v>463</v>
      </c>
      <c r="G45" s="10" t="s">
        <v>464</v>
      </c>
      <c r="H45" s="10" t="s">
        <v>395</v>
      </c>
      <c r="I45" s="21">
        <v>70272</v>
      </c>
      <c r="J45" s="10" t="b">
        <v>0</v>
      </c>
      <c r="K45" s="10" t="s">
        <v>36</v>
      </c>
      <c r="L45" s="10" t="s">
        <v>30</v>
      </c>
      <c r="M45" s="10">
        <v>340</v>
      </c>
      <c r="N45" s="10">
        <v>3</v>
      </c>
      <c r="O45" s="10" t="s">
        <v>58</v>
      </c>
      <c r="P45" s="10">
        <v>24</v>
      </c>
      <c r="Q45" s="10" t="s">
        <v>16</v>
      </c>
      <c r="R45" s="10" t="s">
        <v>25</v>
      </c>
      <c r="S45" s="10" t="b">
        <v>1</v>
      </c>
      <c r="T45" s="10">
        <v>2</v>
      </c>
      <c r="U45" s="10" t="s">
        <v>25</v>
      </c>
      <c r="V45" s="10" t="s">
        <v>17</v>
      </c>
      <c r="W45" s="10">
        <f t="shared" si="1"/>
        <v>4</v>
      </c>
      <c r="X45" s="10" t="s">
        <v>337</v>
      </c>
    </row>
    <row r="46" spans="1:24" x14ac:dyDescent="0.3">
      <c r="A46" s="9">
        <v>44490</v>
      </c>
      <c r="B46" s="10" t="s">
        <v>398</v>
      </c>
      <c r="C46" s="11">
        <v>20232</v>
      </c>
      <c r="D46" s="10">
        <v>2018</v>
      </c>
      <c r="E46" s="10" t="s">
        <v>399</v>
      </c>
      <c r="F46" s="10" t="s">
        <v>400</v>
      </c>
      <c r="G46" s="10" t="s">
        <v>173</v>
      </c>
      <c r="H46" s="10" t="s">
        <v>395</v>
      </c>
      <c r="I46" s="21">
        <v>71159</v>
      </c>
      <c r="J46" s="10" t="b">
        <v>0</v>
      </c>
      <c r="K46" s="10" t="s">
        <v>8</v>
      </c>
      <c r="L46" s="10" t="s">
        <v>30</v>
      </c>
      <c r="M46" s="10">
        <v>185</v>
      </c>
      <c r="N46" s="10">
        <v>2.4</v>
      </c>
      <c r="O46" s="10" t="s">
        <v>13</v>
      </c>
      <c r="P46" s="10">
        <v>29</v>
      </c>
      <c r="Q46" s="10" t="s">
        <v>16</v>
      </c>
      <c r="R46" s="10" t="s">
        <v>17</v>
      </c>
      <c r="S46" s="10" t="b">
        <v>0</v>
      </c>
      <c r="T46" s="10">
        <v>1</v>
      </c>
      <c r="U46" s="10" t="s">
        <v>17</v>
      </c>
      <c r="V46" s="10" t="s">
        <v>17</v>
      </c>
      <c r="W46" s="10">
        <f t="shared" si="1"/>
        <v>3</v>
      </c>
      <c r="X46" s="10" t="s">
        <v>537</v>
      </c>
    </row>
    <row r="47" spans="1:24" x14ac:dyDescent="0.3">
      <c r="A47" s="9">
        <v>44490</v>
      </c>
      <c r="B47" s="10" t="s">
        <v>513</v>
      </c>
      <c r="C47" s="11">
        <v>21335</v>
      </c>
      <c r="D47" s="10">
        <v>2015</v>
      </c>
      <c r="E47" s="10" t="s">
        <v>399</v>
      </c>
      <c r="F47" s="10" t="s">
        <v>514</v>
      </c>
      <c r="G47" s="10" t="s">
        <v>277</v>
      </c>
      <c r="H47" s="10" t="s">
        <v>395</v>
      </c>
      <c r="I47" s="21">
        <v>74164</v>
      </c>
      <c r="J47" s="10" t="b">
        <v>0</v>
      </c>
      <c r="K47" s="10" t="s">
        <v>36</v>
      </c>
      <c r="L47" s="10" t="s">
        <v>30</v>
      </c>
      <c r="M47" s="10">
        <v>420</v>
      </c>
      <c r="N47" s="10">
        <v>5</v>
      </c>
      <c r="O47" s="10" t="s">
        <v>74</v>
      </c>
      <c r="P47" s="10">
        <v>19</v>
      </c>
      <c r="Q47" s="10" t="s">
        <v>16</v>
      </c>
      <c r="R47" s="10" t="s">
        <v>17</v>
      </c>
      <c r="S47" s="10" t="b">
        <v>0</v>
      </c>
      <c r="T47" s="10">
        <v>2</v>
      </c>
      <c r="U47" s="10" t="s">
        <v>17</v>
      </c>
      <c r="V47" s="10" t="s">
        <v>17</v>
      </c>
      <c r="W47" s="10">
        <f t="shared" si="1"/>
        <v>6</v>
      </c>
      <c r="X47" s="10" t="s">
        <v>537</v>
      </c>
    </row>
    <row r="48" spans="1:24" x14ac:dyDescent="0.3">
      <c r="A48" s="9">
        <v>44490</v>
      </c>
      <c r="B48" s="10" t="s">
        <v>523</v>
      </c>
      <c r="C48" s="11">
        <v>13900</v>
      </c>
      <c r="D48" s="10">
        <v>2015</v>
      </c>
      <c r="E48" s="10" t="s">
        <v>399</v>
      </c>
      <c r="F48" s="10" t="s">
        <v>514</v>
      </c>
      <c r="G48" s="10" t="s">
        <v>277</v>
      </c>
      <c r="H48" s="10" t="s">
        <v>395</v>
      </c>
      <c r="I48" s="21">
        <v>154498</v>
      </c>
      <c r="J48" s="10" t="b">
        <v>0</v>
      </c>
      <c r="K48" s="10" t="s">
        <v>36</v>
      </c>
      <c r="L48" s="10" t="s">
        <v>30</v>
      </c>
      <c r="M48" s="10">
        <v>420</v>
      </c>
      <c r="N48" s="10">
        <v>5</v>
      </c>
      <c r="O48" s="10" t="s">
        <v>74</v>
      </c>
      <c r="P48" s="10">
        <v>19</v>
      </c>
      <c r="Q48" s="10" t="s">
        <v>16</v>
      </c>
      <c r="R48" s="10" t="s">
        <v>17</v>
      </c>
      <c r="S48" s="10" t="b">
        <v>0</v>
      </c>
      <c r="T48" s="10">
        <v>3</v>
      </c>
      <c r="U48" s="10" t="s">
        <v>17</v>
      </c>
      <c r="V48" s="10" t="s">
        <v>17</v>
      </c>
      <c r="W48" s="10">
        <f t="shared" si="1"/>
        <v>6</v>
      </c>
      <c r="X48" s="10" t="s">
        <v>537</v>
      </c>
    </row>
    <row r="49" spans="1:24" x14ac:dyDescent="0.3">
      <c r="A49" s="9">
        <v>44490</v>
      </c>
      <c r="B49" s="10" t="s">
        <v>415</v>
      </c>
      <c r="C49" s="11">
        <v>17000</v>
      </c>
      <c r="D49" s="10">
        <v>2016</v>
      </c>
      <c r="E49" s="10" t="s">
        <v>107</v>
      </c>
      <c r="F49" s="10" t="s">
        <v>416</v>
      </c>
      <c r="G49" s="10"/>
      <c r="H49" s="10" t="s">
        <v>395</v>
      </c>
      <c r="I49" s="21">
        <v>92592</v>
      </c>
      <c r="J49" s="10" t="b">
        <v>0</v>
      </c>
      <c r="K49" s="10" t="s">
        <v>36</v>
      </c>
      <c r="L49" s="10" t="s">
        <v>30</v>
      </c>
      <c r="M49" s="10">
        <v>241</v>
      </c>
      <c r="N49" s="10">
        <v>2</v>
      </c>
      <c r="O49" s="10" t="s">
        <v>13</v>
      </c>
      <c r="P49" s="10">
        <v>27</v>
      </c>
      <c r="Q49" s="10" t="s">
        <v>16</v>
      </c>
      <c r="R49" s="10" t="s">
        <v>17</v>
      </c>
      <c r="S49" s="10" t="b">
        <v>1</v>
      </c>
      <c r="T49" s="10">
        <v>2</v>
      </c>
      <c r="U49" s="10" t="s">
        <v>17</v>
      </c>
      <c r="V49" s="10" t="s">
        <v>17</v>
      </c>
      <c r="W49" s="10">
        <f t="shared" si="1"/>
        <v>5</v>
      </c>
      <c r="X49" s="10" t="s">
        <v>333</v>
      </c>
    </row>
    <row r="50" spans="1:24" x14ac:dyDescent="0.3">
      <c r="A50" s="9">
        <v>44490</v>
      </c>
      <c r="B50" s="10" t="s">
        <v>509</v>
      </c>
      <c r="C50" s="11">
        <v>6995</v>
      </c>
      <c r="D50" s="10">
        <v>2004</v>
      </c>
      <c r="E50" s="10" t="s">
        <v>107</v>
      </c>
      <c r="F50" s="10" t="s">
        <v>488</v>
      </c>
      <c r="G50" s="10"/>
      <c r="H50" s="10" t="s">
        <v>395</v>
      </c>
      <c r="I50" s="21">
        <v>171214</v>
      </c>
      <c r="J50" s="10" t="b">
        <v>0</v>
      </c>
      <c r="K50" s="10" t="s">
        <v>36</v>
      </c>
      <c r="L50" s="10" t="s">
        <v>30</v>
      </c>
      <c r="M50" s="10">
        <v>290</v>
      </c>
      <c r="N50" s="10">
        <v>4.3</v>
      </c>
      <c r="O50" s="10" t="s">
        <v>74</v>
      </c>
      <c r="P50" s="10">
        <v>19</v>
      </c>
      <c r="Q50" s="10" t="s">
        <v>16</v>
      </c>
      <c r="R50" s="10" t="s">
        <v>17</v>
      </c>
      <c r="S50" s="10" t="b">
        <v>1</v>
      </c>
      <c r="T50" s="10">
        <v>5</v>
      </c>
      <c r="U50" s="10" t="s">
        <v>17</v>
      </c>
      <c r="V50" s="10" t="s">
        <v>17</v>
      </c>
      <c r="W50" s="10">
        <f t="shared" si="1"/>
        <v>17</v>
      </c>
      <c r="X50" s="10" t="s">
        <v>333</v>
      </c>
    </row>
    <row r="51" spans="1:24" x14ac:dyDescent="0.3">
      <c r="A51" s="9">
        <v>44490</v>
      </c>
      <c r="B51" s="10" t="s">
        <v>446</v>
      </c>
      <c r="C51" s="11">
        <v>5995</v>
      </c>
      <c r="D51" s="10">
        <v>1998</v>
      </c>
      <c r="E51" s="10" t="s">
        <v>107</v>
      </c>
      <c r="F51" s="10" t="s">
        <v>447</v>
      </c>
      <c r="G51" s="10">
        <v>300</v>
      </c>
      <c r="H51" s="10" t="s">
        <v>395</v>
      </c>
      <c r="I51" s="21">
        <v>157800</v>
      </c>
      <c r="J51" s="10" t="b">
        <v>0</v>
      </c>
      <c r="K51" s="10" t="s">
        <v>36</v>
      </c>
      <c r="L51" s="10" t="s">
        <v>30</v>
      </c>
      <c r="M51" s="10">
        <v>225</v>
      </c>
      <c r="N51" s="10">
        <v>3</v>
      </c>
      <c r="O51" s="10" t="s">
        <v>49</v>
      </c>
      <c r="P51" s="10">
        <v>20</v>
      </c>
      <c r="Q51" s="10" t="s">
        <v>16</v>
      </c>
      <c r="R51" s="10" t="s">
        <v>17</v>
      </c>
      <c r="S51" s="10" t="b">
        <v>0</v>
      </c>
      <c r="T51" s="10">
        <v>3</v>
      </c>
      <c r="U51" s="10" t="s">
        <v>17</v>
      </c>
      <c r="V51" s="10" t="s">
        <v>17</v>
      </c>
      <c r="W51" s="10">
        <f t="shared" si="1"/>
        <v>23</v>
      </c>
      <c r="X51" s="10" t="s">
        <v>333</v>
      </c>
    </row>
    <row r="52" spans="1:24" x14ac:dyDescent="0.3">
      <c r="A52" s="9">
        <v>44490</v>
      </c>
      <c r="B52" s="10" t="s">
        <v>472</v>
      </c>
      <c r="C52" s="11">
        <v>14995</v>
      </c>
      <c r="D52" s="10">
        <v>2013</v>
      </c>
      <c r="E52" s="10" t="s">
        <v>107</v>
      </c>
      <c r="F52" s="10" t="s">
        <v>466</v>
      </c>
      <c r="G52" s="10"/>
      <c r="H52" s="10" t="s">
        <v>395</v>
      </c>
      <c r="I52" s="21">
        <v>115440</v>
      </c>
      <c r="J52" s="10" t="b">
        <v>0</v>
      </c>
      <c r="K52" s="10" t="s">
        <v>8</v>
      </c>
      <c r="L52" s="10" t="s">
        <v>30</v>
      </c>
      <c r="M52" s="10">
        <v>268</v>
      </c>
      <c r="N52" s="10">
        <v>3.5</v>
      </c>
      <c r="O52" s="10" t="s">
        <v>58</v>
      </c>
      <c r="P52" s="10">
        <v>26</v>
      </c>
      <c r="Q52" s="10" t="s">
        <v>16</v>
      </c>
      <c r="R52" s="10" t="s">
        <v>17</v>
      </c>
      <c r="S52" s="10" t="b">
        <v>0</v>
      </c>
      <c r="T52" s="10">
        <v>3</v>
      </c>
      <c r="U52" s="10" t="s">
        <v>17</v>
      </c>
      <c r="V52" s="10" t="s">
        <v>17</v>
      </c>
      <c r="W52" s="10">
        <f t="shared" si="1"/>
        <v>8</v>
      </c>
      <c r="X52" s="10" t="s">
        <v>333</v>
      </c>
    </row>
    <row r="53" spans="1:24" x14ac:dyDescent="0.3">
      <c r="A53" s="9">
        <v>44490</v>
      </c>
      <c r="B53" s="10" t="s">
        <v>473</v>
      </c>
      <c r="C53" s="11">
        <v>14495</v>
      </c>
      <c r="D53" s="10">
        <v>2013</v>
      </c>
      <c r="E53" s="10" t="s">
        <v>107</v>
      </c>
      <c r="F53" s="10" t="s">
        <v>474</v>
      </c>
      <c r="G53" s="10"/>
      <c r="H53" s="10" t="s">
        <v>395</v>
      </c>
      <c r="I53" s="21">
        <v>153437</v>
      </c>
      <c r="J53" s="10" t="b">
        <v>0</v>
      </c>
      <c r="K53" s="10" t="s">
        <v>36</v>
      </c>
      <c r="L53" s="10" t="s">
        <v>30</v>
      </c>
      <c r="M53" s="10">
        <v>306</v>
      </c>
      <c r="N53" s="10">
        <v>3.5</v>
      </c>
      <c r="O53" s="10" t="s">
        <v>58</v>
      </c>
      <c r="P53" s="10">
        <v>23</v>
      </c>
      <c r="Q53" s="10" t="s">
        <v>16</v>
      </c>
      <c r="R53" s="10" t="s">
        <v>17</v>
      </c>
      <c r="S53" s="10" t="b">
        <v>0</v>
      </c>
      <c r="T53" s="10">
        <v>2</v>
      </c>
      <c r="U53" s="10" t="s">
        <v>17</v>
      </c>
      <c r="V53" s="10" t="s">
        <v>17</v>
      </c>
      <c r="W53" s="10">
        <f t="shared" si="1"/>
        <v>8</v>
      </c>
      <c r="X53" s="10" t="s">
        <v>333</v>
      </c>
    </row>
    <row r="54" spans="1:24" x14ac:dyDescent="0.3">
      <c r="A54" s="9">
        <v>44490</v>
      </c>
      <c r="B54" s="10" t="s">
        <v>487</v>
      </c>
      <c r="C54" s="11">
        <v>9495</v>
      </c>
      <c r="D54" s="10">
        <v>2005</v>
      </c>
      <c r="E54" s="10" t="s">
        <v>107</v>
      </c>
      <c r="F54" s="10" t="s">
        <v>488</v>
      </c>
      <c r="G54" s="10"/>
      <c r="H54" s="10" t="s">
        <v>395</v>
      </c>
      <c r="I54" s="21">
        <v>111781</v>
      </c>
      <c r="J54" s="10" t="b">
        <v>0</v>
      </c>
      <c r="K54" s="10" t="s">
        <v>36</v>
      </c>
      <c r="L54" s="10" t="s">
        <v>30</v>
      </c>
      <c r="M54" s="10">
        <v>290</v>
      </c>
      <c r="N54" s="10">
        <v>4.3</v>
      </c>
      <c r="O54" s="10" t="s">
        <v>74</v>
      </c>
      <c r="P54" s="10">
        <v>19</v>
      </c>
      <c r="Q54" s="10" t="s">
        <v>16</v>
      </c>
      <c r="R54" s="10" t="s">
        <v>17</v>
      </c>
      <c r="S54" s="10" t="b">
        <v>0</v>
      </c>
      <c r="T54" s="10">
        <v>3</v>
      </c>
      <c r="U54" s="10" t="s">
        <v>17</v>
      </c>
      <c r="V54" s="10" t="s">
        <v>25</v>
      </c>
      <c r="W54" s="10">
        <f t="shared" si="1"/>
        <v>16</v>
      </c>
      <c r="X54" s="10" t="s">
        <v>333</v>
      </c>
    </row>
    <row r="55" spans="1:24" x14ac:dyDescent="0.3">
      <c r="A55" s="9">
        <v>44490</v>
      </c>
      <c r="B55" s="10" t="s">
        <v>507</v>
      </c>
      <c r="C55" s="11">
        <v>9600</v>
      </c>
      <c r="D55" s="10">
        <v>2008</v>
      </c>
      <c r="E55" s="10" t="s">
        <v>107</v>
      </c>
      <c r="F55" s="10" t="s">
        <v>508</v>
      </c>
      <c r="G55" s="10"/>
      <c r="H55" s="10" t="s">
        <v>395</v>
      </c>
      <c r="I55" s="21">
        <v>155000</v>
      </c>
      <c r="J55" s="10" t="b">
        <v>0</v>
      </c>
      <c r="K55" s="10" t="s">
        <v>36</v>
      </c>
      <c r="L55" s="10" t="s">
        <v>30</v>
      </c>
      <c r="M55" s="10">
        <v>380</v>
      </c>
      <c r="N55" s="10">
        <v>4.5999999999999996</v>
      </c>
      <c r="O55" s="10" t="s">
        <v>74</v>
      </c>
      <c r="P55" s="10">
        <v>20</v>
      </c>
      <c r="Q55" s="10" t="s">
        <v>16</v>
      </c>
      <c r="R55" s="10" t="s">
        <v>17</v>
      </c>
      <c r="S55" s="10" t="b">
        <v>0</v>
      </c>
      <c r="T55" s="10">
        <v>3</v>
      </c>
      <c r="U55" s="10" t="s">
        <v>17</v>
      </c>
      <c r="V55" s="10" t="s">
        <v>25</v>
      </c>
      <c r="W55" s="10">
        <f t="shared" si="1"/>
        <v>13</v>
      </c>
      <c r="X55" s="10" t="s">
        <v>333</v>
      </c>
    </row>
    <row r="56" spans="1:24" x14ac:dyDescent="0.3">
      <c r="A56" s="9">
        <v>44490</v>
      </c>
      <c r="B56" s="10" t="s">
        <v>515</v>
      </c>
      <c r="C56" s="11">
        <v>14995</v>
      </c>
      <c r="D56" s="10">
        <v>2007</v>
      </c>
      <c r="E56" s="10" t="s">
        <v>107</v>
      </c>
      <c r="F56" s="10" t="s">
        <v>508</v>
      </c>
      <c r="G56" s="10"/>
      <c r="H56" s="10" t="s">
        <v>395</v>
      </c>
      <c r="I56" s="21">
        <v>76663</v>
      </c>
      <c r="J56" s="10" t="b">
        <v>0</v>
      </c>
      <c r="K56" s="10" t="s">
        <v>36</v>
      </c>
      <c r="L56" s="10" t="s">
        <v>30</v>
      </c>
      <c r="M56" s="10">
        <v>380</v>
      </c>
      <c r="N56" s="10">
        <v>4.5999999999999996</v>
      </c>
      <c r="O56" s="10" t="s">
        <v>74</v>
      </c>
      <c r="P56" s="10">
        <v>21</v>
      </c>
      <c r="Q56" s="10" t="s">
        <v>16</v>
      </c>
      <c r="R56" s="10" t="s">
        <v>17</v>
      </c>
      <c r="S56" s="10" t="b">
        <v>0</v>
      </c>
      <c r="T56" s="10">
        <v>1</v>
      </c>
      <c r="U56" s="10" t="s">
        <v>17</v>
      </c>
      <c r="V56" s="10" t="s">
        <v>17</v>
      </c>
      <c r="W56" s="10">
        <f t="shared" si="1"/>
        <v>14</v>
      </c>
      <c r="X56" s="10" t="s">
        <v>333</v>
      </c>
    </row>
    <row r="57" spans="1:24" x14ac:dyDescent="0.3">
      <c r="A57" s="9">
        <v>44490</v>
      </c>
      <c r="B57" s="10" t="s">
        <v>465</v>
      </c>
      <c r="C57" s="11">
        <v>6500</v>
      </c>
      <c r="D57" s="10">
        <v>2007</v>
      </c>
      <c r="E57" s="10" t="s">
        <v>107</v>
      </c>
      <c r="F57" s="10" t="s">
        <v>466</v>
      </c>
      <c r="G57" s="10"/>
      <c r="H57" s="10" t="s">
        <v>395</v>
      </c>
      <c r="I57" s="21">
        <v>120030</v>
      </c>
      <c r="J57" s="10" t="b">
        <v>0</v>
      </c>
      <c r="K57" s="10" t="s">
        <v>8</v>
      </c>
      <c r="L57" s="10" t="s">
        <v>30</v>
      </c>
      <c r="M57" s="10">
        <v>272</v>
      </c>
      <c r="N57" s="10">
        <v>3.5</v>
      </c>
      <c r="O57" s="10" t="s">
        <v>58</v>
      </c>
      <c r="P57" s="10">
        <v>23</v>
      </c>
      <c r="Q57" s="10" t="s">
        <v>16</v>
      </c>
      <c r="R57" s="10" t="s">
        <v>25</v>
      </c>
      <c r="S57" s="10" t="b">
        <v>1</v>
      </c>
      <c r="T57" s="10">
        <v>4</v>
      </c>
      <c r="U57" s="10" t="s">
        <v>17</v>
      </c>
      <c r="V57" s="10" t="s">
        <v>17</v>
      </c>
      <c r="W57" s="10">
        <f t="shared" si="1"/>
        <v>14</v>
      </c>
      <c r="X57" s="10" t="s">
        <v>333</v>
      </c>
    </row>
    <row r="58" spans="1:24" x14ac:dyDescent="0.3">
      <c r="A58" s="9">
        <v>44490</v>
      </c>
      <c r="B58" s="10" t="s">
        <v>480</v>
      </c>
      <c r="C58" s="11">
        <v>4999</v>
      </c>
      <c r="D58" s="10">
        <v>2008</v>
      </c>
      <c r="E58" s="10" t="s">
        <v>264</v>
      </c>
      <c r="F58" s="10" t="s">
        <v>481</v>
      </c>
      <c r="G58" s="10"/>
      <c r="H58" s="10" t="s">
        <v>395</v>
      </c>
      <c r="I58" s="21">
        <v>118033</v>
      </c>
      <c r="J58" s="10" t="b">
        <v>0</v>
      </c>
      <c r="K58" s="10" t="s">
        <v>8</v>
      </c>
      <c r="L58" s="10" t="s">
        <v>30</v>
      </c>
      <c r="M58" s="10">
        <v>263</v>
      </c>
      <c r="N58" s="10">
        <v>3.5</v>
      </c>
      <c r="O58" s="10" t="s">
        <v>58</v>
      </c>
      <c r="P58" s="10">
        <v>23</v>
      </c>
      <c r="Q58" s="10" t="s">
        <v>16</v>
      </c>
      <c r="R58" s="10" t="s">
        <v>17</v>
      </c>
      <c r="S58" s="10" t="b">
        <v>1</v>
      </c>
      <c r="T58" s="10">
        <v>2</v>
      </c>
      <c r="U58" s="10" t="s">
        <v>17</v>
      </c>
      <c r="V58" s="10" t="s">
        <v>17</v>
      </c>
      <c r="W58" s="10">
        <f t="shared" si="1"/>
        <v>13</v>
      </c>
      <c r="X58" s="10" t="s">
        <v>335</v>
      </c>
    </row>
    <row r="59" spans="1:24" x14ac:dyDescent="0.3">
      <c r="A59" s="9">
        <v>44490</v>
      </c>
      <c r="B59" s="10" t="s">
        <v>401</v>
      </c>
      <c r="C59" s="11">
        <v>18700</v>
      </c>
      <c r="D59" s="10">
        <v>2016</v>
      </c>
      <c r="E59" s="10" t="s">
        <v>92</v>
      </c>
      <c r="F59" s="10" t="s">
        <v>402</v>
      </c>
      <c r="G59" s="10" t="s">
        <v>403</v>
      </c>
      <c r="H59" s="10" t="s">
        <v>395</v>
      </c>
      <c r="I59" s="21">
        <v>64385</v>
      </c>
      <c r="J59" s="10" t="b">
        <v>0</v>
      </c>
      <c r="K59" s="10" t="s">
        <v>8</v>
      </c>
      <c r="L59" s="10" t="s">
        <v>30</v>
      </c>
      <c r="M59" s="10">
        <v>184</v>
      </c>
      <c r="N59" s="10">
        <v>2.5</v>
      </c>
      <c r="O59" s="10" t="s">
        <v>13</v>
      </c>
      <c r="P59" s="10">
        <v>31</v>
      </c>
      <c r="Q59" s="10" t="s">
        <v>16</v>
      </c>
      <c r="R59" s="10" t="s">
        <v>17</v>
      </c>
      <c r="S59" s="10" t="b">
        <v>1</v>
      </c>
      <c r="T59" s="10">
        <v>1</v>
      </c>
      <c r="U59" s="10" t="s">
        <v>17</v>
      </c>
      <c r="V59" s="10" t="s">
        <v>17</v>
      </c>
      <c r="W59" s="10">
        <f t="shared" si="1"/>
        <v>5</v>
      </c>
      <c r="X59" s="10" t="s">
        <v>333</v>
      </c>
    </row>
    <row r="60" spans="1:24" x14ac:dyDescent="0.3">
      <c r="A60" s="9">
        <v>44490</v>
      </c>
      <c r="B60" s="10" t="s">
        <v>470</v>
      </c>
      <c r="C60" s="11">
        <v>22998</v>
      </c>
      <c r="D60" s="10">
        <v>2014</v>
      </c>
      <c r="E60" s="10" t="s">
        <v>44</v>
      </c>
      <c r="F60" s="10" t="s">
        <v>214</v>
      </c>
      <c r="G60" s="10" t="s">
        <v>471</v>
      </c>
      <c r="H60" s="10" t="s">
        <v>395</v>
      </c>
      <c r="I60" s="21">
        <v>44523</v>
      </c>
      <c r="J60" s="10" t="b">
        <v>0</v>
      </c>
      <c r="K60" s="10" t="s">
        <v>36</v>
      </c>
      <c r="L60" s="10" t="s">
        <v>30</v>
      </c>
      <c r="M60" s="10">
        <v>302</v>
      </c>
      <c r="N60" s="10">
        <v>3.5</v>
      </c>
      <c r="O60" s="10" t="s">
        <v>58</v>
      </c>
      <c r="P60" s="10">
        <v>24</v>
      </c>
      <c r="Q60" s="10" t="s">
        <v>16</v>
      </c>
      <c r="R60" s="10" t="s">
        <v>17</v>
      </c>
      <c r="S60" s="10" t="b">
        <v>0</v>
      </c>
      <c r="T60" s="10">
        <v>2</v>
      </c>
      <c r="U60" s="10" t="s">
        <v>17</v>
      </c>
      <c r="V60" s="10" t="s">
        <v>17</v>
      </c>
      <c r="W60" s="10">
        <f t="shared" si="1"/>
        <v>7</v>
      </c>
      <c r="X60" s="10" t="s">
        <v>334</v>
      </c>
    </row>
    <row r="61" spans="1:24" x14ac:dyDescent="0.3">
      <c r="A61" s="9">
        <v>44490</v>
      </c>
      <c r="B61" s="10" t="s">
        <v>489</v>
      </c>
      <c r="C61" s="11">
        <v>6995</v>
      </c>
      <c r="D61" s="10">
        <v>2006</v>
      </c>
      <c r="E61" s="10" t="s">
        <v>44</v>
      </c>
      <c r="F61" s="10" t="s">
        <v>490</v>
      </c>
      <c r="G61" s="10" t="s">
        <v>491</v>
      </c>
      <c r="H61" s="10" t="s">
        <v>395</v>
      </c>
      <c r="I61" s="21">
        <v>139141</v>
      </c>
      <c r="J61" s="10" t="b">
        <v>0</v>
      </c>
      <c r="K61" s="10" t="s">
        <v>36</v>
      </c>
      <c r="L61" s="10" t="s">
        <v>30</v>
      </c>
      <c r="M61" s="10">
        <v>302</v>
      </c>
      <c r="N61" s="10">
        <v>5</v>
      </c>
      <c r="O61" s="10" t="s">
        <v>74</v>
      </c>
      <c r="P61" s="10">
        <v>17</v>
      </c>
      <c r="Q61" s="10" t="s">
        <v>16</v>
      </c>
      <c r="R61" s="10" t="s">
        <v>17</v>
      </c>
      <c r="S61" s="10" t="b">
        <v>0</v>
      </c>
      <c r="T61" s="10">
        <v>3</v>
      </c>
      <c r="U61" s="10" t="s">
        <v>17</v>
      </c>
      <c r="V61" s="10" t="s">
        <v>17</v>
      </c>
      <c r="W61" s="10">
        <f t="shared" si="1"/>
        <v>15</v>
      </c>
      <c r="X61" s="10" t="s">
        <v>334</v>
      </c>
    </row>
    <row r="62" spans="1:24" x14ac:dyDescent="0.3">
      <c r="A62" s="9">
        <v>44490</v>
      </c>
      <c r="B62" s="10" t="s">
        <v>492</v>
      </c>
      <c r="C62" s="11">
        <v>28995</v>
      </c>
      <c r="D62" s="10">
        <v>2014</v>
      </c>
      <c r="E62" s="10" t="s">
        <v>44</v>
      </c>
      <c r="F62" s="10" t="s">
        <v>490</v>
      </c>
      <c r="G62" s="10" t="s">
        <v>491</v>
      </c>
      <c r="H62" s="10" t="s">
        <v>395</v>
      </c>
      <c r="I62" s="21">
        <v>53581</v>
      </c>
      <c r="J62" s="10" t="b">
        <v>0</v>
      </c>
      <c r="K62" s="10" t="s">
        <v>36</v>
      </c>
      <c r="L62" s="10" t="s">
        <v>30</v>
      </c>
      <c r="M62" s="10">
        <v>402</v>
      </c>
      <c r="N62" s="10">
        <v>4.7</v>
      </c>
      <c r="O62" s="10" t="s">
        <v>74</v>
      </c>
      <c r="P62" s="10">
        <v>21</v>
      </c>
      <c r="Q62" s="10" t="s">
        <v>16</v>
      </c>
      <c r="R62" s="10" t="s">
        <v>17</v>
      </c>
      <c r="S62" s="10" t="b">
        <v>0</v>
      </c>
      <c r="T62" s="10">
        <v>3</v>
      </c>
      <c r="U62" s="10" t="s">
        <v>17</v>
      </c>
      <c r="V62" s="10" t="s">
        <v>17</v>
      </c>
      <c r="W62" s="10">
        <f t="shared" si="1"/>
        <v>7</v>
      </c>
      <c r="X62" s="10" t="s">
        <v>334</v>
      </c>
    </row>
    <row r="63" spans="1:24" x14ac:dyDescent="0.3">
      <c r="A63" s="9">
        <v>44490</v>
      </c>
      <c r="B63" s="10" t="s">
        <v>498</v>
      </c>
      <c r="C63" s="11">
        <v>5183</v>
      </c>
      <c r="D63" s="10">
        <v>2005</v>
      </c>
      <c r="E63" s="10" t="s">
        <v>44</v>
      </c>
      <c r="F63" s="10" t="s">
        <v>499</v>
      </c>
      <c r="G63" s="10" t="s">
        <v>500</v>
      </c>
      <c r="H63" s="10" t="s">
        <v>395</v>
      </c>
      <c r="I63" s="21">
        <v>120221</v>
      </c>
      <c r="J63" s="10" t="b">
        <v>0</v>
      </c>
      <c r="K63" s="10" t="s">
        <v>36</v>
      </c>
      <c r="L63" s="10" t="s">
        <v>30</v>
      </c>
      <c r="M63" s="10">
        <v>275</v>
      </c>
      <c r="N63" s="10">
        <v>4.3</v>
      </c>
      <c r="O63" s="10" t="s">
        <v>74</v>
      </c>
      <c r="P63" s="10">
        <v>20</v>
      </c>
      <c r="Q63" s="10" t="s">
        <v>16</v>
      </c>
      <c r="R63" s="10" t="s">
        <v>17</v>
      </c>
      <c r="S63" s="10" t="b">
        <v>0</v>
      </c>
      <c r="T63" s="10">
        <v>5</v>
      </c>
      <c r="U63" s="10" t="s">
        <v>17</v>
      </c>
      <c r="V63" s="10" t="s">
        <v>17</v>
      </c>
      <c r="W63" s="10">
        <f t="shared" si="1"/>
        <v>16</v>
      </c>
      <c r="X63" s="10" t="s">
        <v>334</v>
      </c>
    </row>
    <row r="64" spans="1:24" x14ac:dyDescent="0.3">
      <c r="A64" s="9">
        <v>44490</v>
      </c>
      <c r="B64" s="10" t="s">
        <v>502</v>
      </c>
      <c r="C64" s="11">
        <v>20800</v>
      </c>
      <c r="D64" s="10">
        <v>2013</v>
      </c>
      <c r="E64" s="10" t="s">
        <v>44</v>
      </c>
      <c r="F64" s="10" t="s">
        <v>490</v>
      </c>
      <c r="G64" s="10" t="s">
        <v>503</v>
      </c>
      <c r="H64" s="10" t="s">
        <v>395</v>
      </c>
      <c r="I64" s="21">
        <v>101619</v>
      </c>
      <c r="J64" s="10" t="b">
        <v>0</v>
      </c>
      <c r="K64" s="10" t="s">
        <v>36</v>
      </c>
      <c r="L64" s="10" t="s">
        <v>30</v>
      </c>
      <c r="M64" s="10">
        <v>402</v>
      </c>
      <c r="N64" s="10">
        <v>4.7</v>
      </c>
      <c r="O64" s="10" t="s">
        <v>74</v>
      </c>
      <c r="P64" s="10">
        <v>21</v>
      </c>
      <c r="Q64" s="10" t="s">
        <v>16</v>
      </c>
      <c r="R64" s="10" t="s">
        <v>17</v>
      </c>
      <c r="S64" s="10" t="b">
        <v>0</v>
      </c>
      <c r="T64" s="10">
        <v>3</v>
      </c>
      <c r="U64" s="10" t="s">
        <v>17</v>
      </c>
      <c r="V64" s="10" t="s">
        <v>17</v>
      </c>
      <c r="W64" s="10">
        <f t="shared" si="1"/>
        <v>8</v>
      </c>
      <c r="X64" s="10" t="s">
        <v>334</v>
      </c>
    </row>
    <row r="65" spans="1:24" x14ac:dyDescent="0.3">
      <c r="A65" s="9">
        <v>44490</v>
      </c>
      <c r="B65" s="10" t="s">
        <v>531</v>
      </c>
      <c r="C65" s="11">
        <v>14299</v>
      </c>
      <c r="D65" s="10">
        <v>2007</v>
      </c>
      <c r="E65" s="10" t="s">
        <v>44</v>
      </c>
      <c r="F65" s="10" t="s">
        <v>499</v>
      </c>
      <c r="G65" s="10" t="s">
        <v>505</v>
      </c>
      <c r="H65" s="10" t="s">
        <v>395</v>
      </c>
      <c r="I65" s="21">
        <v>98345</v>
      </c>
      <c r="J65" s="10" t="b">
        <v>0</v>
      </c>
      <c r="K65" s="10" t="s">
        <v>36</v>
      </c>
      <c r="L65" s="10" t="s">
        <v>30</v>
      </c>
      <c r="M65" s="10">
        <v>382</v>
      </c>
      <c r="N65" s="10">
        <v>5.5</v>
      </c>
      <c r="O65" s="10" t="s">
        <v>74</v>
      </c>
      <c r="P65" s="10">
        <v>18</v>
      </c>
      <c r="Q65" s="10" t="s">
        <v>16</v>
      </c>
      <c r="R65" s="10" t="s">
        <v>17</v>
      </c>
      <c r="S65" s="10" t="b">
        <v>0</v>
      </c>
      <c r="T65" s="10">
        <v>1</v>
      </c>
      <c r="U65" s="10" t="s">
        <v>17</v>
      </c>
      <c r="V65" s="10" t="s">
        <v>17</v>
      </c>
      <c r="W65" s="10">
        <f t="shared" si="1"/>
        <v>14</v>
      </c>
      <c r="X65" s="10" t="s">
        <v>334</v>
      </c>
    </row>
    <row r="66" spans="1:24" x14ac:dyDescent="0.3">
      <c r="A66" s="9">
        <v>44490</v>
      </c>
      <c r="B66" s="10" t="s">
        <v>528</v>
      </c>
      <c r="C66" s="11">
        <v>6995</v>
      </c>
      <c r="D66" s="10">
        <v>2004</v>
      </c>
      <c r="E66" s="10" t="s">
        <v>529</v>
      </c>
      <c r="F66" s="10" t="s">
        <v>530</v>
      </c>
      <c r="G66" s="10" t="s">
        <v>183</v>
      </c>
      <c r="H66" s="10" t="s">
        <v>395</v>
      </c>
      <c r="I66" s="21">
        <v>71100</v>
      </c>
      <c r="J66" s="10" t="b">
        <v>0</v>
      </c>
      <c r="K66" s="10" t="s">
        <v>36</v>
      </c>
      <c r="L66" s="10" t="s">
        <v>30</v>
      </c>
      <c r="M66" s="10">
        <v>224</v>
      </c>
      <c r="N66" s="10">
        <v>4.5999999999999996</v>
      </c>
      <c r="O66" s="10" t="s">
        <v>74</v>
      </c>
      <c r="P66" s="10">
        <v>19</v>
      </c>
      <c r="Q66" s="10" t="s">
        <v>16</v>
      </c>
      <c r="R66" s="10" t="s">
        <v>17</v>
      </c>
      <c r="S66" s="10" t="b">
        <v>1</v>
      </c>
      <c r="T66" s="10">
        <v>3</v>
      </c>
      <c r="U66" s="10" t="s">
        <v>17</v>
      </c>
      <c r="V66" s="10" t="s">
        <v>17</v>
      </c>
      <c r="W66" s="10">
        <f t="shared" ref="W66:W74" si="2">2021-D66</f>
        <v>17</v>
      </c>
      <c r="X66" s="10" t="s">
        <v>335</v>
      </c>
    </row>
    <row r="67" spans="1:24" x14ac:dyDescent="0.3">
      <c r="A67" s="9">
        <v>44490</v>
      </c>
      <c r="B67" s="10" t="s">
        <v>424</v>
      </c>
      <c r="C67" s="11">
        <v>13500</v>
      </c>
      <c r="D67" s="10">
        <v>2018</v>
      </c>
      <c r="E67" s="10" t="s">
        <v>5</v>
      </c>
      <c r="F67" s="10" t="s">
        <v>425</v>
      </c>
      <c r="G67" s="10" t="s">
        <v>426</v>
      </c>
      <c r="H67" s="10" t="s">
        <v>395</v>
      </c>
      <c r="I67" s="21">
        <v>59164</v>
      </c>
      <c r="J67" s="10" t="b">
        <v>0</v>
      </c>
      <c r="K67" s="10" t="s">
        <v>8</v>
      </c>
      <c r="L67" s="10" t="s">
        <v>30</v>
      </c>
      <c r="M67" s="10">
        <v>179</v>
      </c>
      <c r="N67" s="10">
        <v>2.5</v>
      </c>
      <c r="O67" s="10" t="s">
        <v>13</v>
      </c>
      <c r="P67" s="10">
        <v>32</v>
      </c>
      <c r="Q67" s="10" t="s">
        <v>16</v>
      </c>
      <c r="R67" s="10" t="s">
        <v>17</v>
      </c>
      <c r="S67" s="10" t="b">
        <v>1</v>
      </c>
      <c r="T67" s="10">
        <v>2</v>
      </c>
      <c r="U67" s="10" t="s">
        <v>17</v>
      </c>
      <c r="V67" s="10" t="s">
        <v>25</v>
      </c>
      <c r="W67" s="10">
        <f t="shared" si="2"/>
        <v>3</v>
      </c>
      <c r="X67" s="10" t="s">
        <v>333</v>
      </c>
    </row>
    <row r="68" spans="1:24" x14ac:dyDescent="0.3">
      <c r="A68" s="9">
        <v>44490</v>
      </c>
      <c r="B68" s="10" t="s">
        <v>454</v>
      </c>
      <c r="C68" s="11">
        <v>28445</v>
      </c>
      <c r="D68" s="10">
        <v>2019</v>
      </c>
      <c r="E68" s="10" t="s">
        <v>5</v>
      </c>
      <c r="F68" s="10" t="s">
        <v>455</v>
      </c>
      <c r="G68" s="10" t="s">
        <v>29</v>
      </c>
      <c r="H68" s="10" t="s">
        <v>395</v>
      </c>
      <c r="I68" s="21">
        <v>10536</v>
      </c>
      <c r="J68" s="10" t="b">
        <v>0</v>
      </c>
      <c r="K68" s="10" t="s">
        <v>8</v>
      </c>
      <c r="L68" s="10" t="s">
        <v>30</v>
      </c>
      <c r="M68" s="10">
        <v>300</v>
      </c>
      <c r="N68" s="10">
        <v>3.5</v>
      </c>
      <c r="O68" s="10" t="s">
        <v>58</v>
      </c>
      <c r="P68" s="10">
        <v>25</v>
      </c>
      <c r="Q68" s="10" t="s">
        <v>16</v>
      </c>
      <c r="R68" s="10" t="s">
        <v>17</v>
      </c>
      <c r="S68" s="10" t="b">
        <v>0</v>
      </c>
      <c r="T68" s="10">
        <v>1</v>
      </c>
      <c r="U68" s="10" t="s">
        <v>17</v>
      </c>
      <c r="V68" s="10" t="s">
        <v>17</v>
      </c>
      <c r="W68" s="10">
        <f t="shared" si="2"/>
        <v>2</v>
      </c>
      <c r="X68" s="10" t="s">
        <v>333</v>
      </c>
    </row>
    <row r="69" spans="1:24" x14ac:dyDescent="0.3">
      <c r="A69" s="9">
        <v>44490</v>
      </c>
      <c r="B69" s="10" t="s">
        <v>396</v>
      </c>
      <c r="C69" s="11">
        <v>22988</v>
      </c>
      <c r="D69" s="10">
        <v>2015</v>
      </c>
      <c r="E69" s="10" t="s">
        <v>203</v>
      </c>
      <c r="F69" s="10" t="s">
        <v>394</v>
      </c>
      <c r="G69" s="10" t="s">
        <v>204</v>
      </c>
      <c r="H69" s="10" t="s">
        <v>395</v>
      </c>
      <c r="I69" s="21">
        <v>51086</v>
      </c>
      <c r="J69" s="10" t="b">
        <v>0</v>
      </c>
      <c r="K69" s="10" t="s">
        <v>136</v>
      </c>
      <c r="L69" s="10" t="s">
        <v>30</v>
      </c>
      <c r="M69" s="10">
        <v>268</v>
      </c>
      <c r="N69" s="10">
        <v>2</v>
      </c>
      <c r="O69" s="10" t="s">
        <v>205</v>
      </c>
      <c r="P69" s="10">
        <v>22</v>
      </c>
      <c r="Q69" s="10" t="s">
        <v>16</v>
      </c>
      <c r="R69" s="10" t="s">
        <v>17</v>
      </c>
      <c r="S69" s="10" t="b">
        <v>1</v>
      </c>
      <c r="T69" s="10">
        <v>2</v>
      </c>
      <c r="U69" s="10" t="s">
        <v>17</v>
      </c>
      <c r="V69" s="10" t="s">
        <v>17</v>
      </c>
      <c r="W69" s="10">
        <f t="shared" si="2"/>
        <v>6</v>
      </c>
      <c r="X69" s="10" t="s">
        <v>333</v>
      </c>
    </row>
    <row r="70" spans="1:24" x14ac:dyDescent="0.3">
      <c r="A70" s="9">
        <v>44490</v>
      </c>
      <c r="B70" s="10" t="s">
        <v>397</v>
      </c>
      <c r="C70" s="11">
        <v>25555</v>
      </c>
      <c r="D70" s="10">
        <v>2018</v>
      </c>
      <c r="E70" s="10" t="s">
        <v>203</v>
      </c>
      <c r="F70" s="10" t="s">
        <v>394</v>
      </c>
      <c r="G70" s="10"/>
      <c r="H70" s="10" t="s">
        <v>395</v>
      </c>
      <c r="I70" s="21">
        <v>30632</v>
      </c>
      <c r="J70" s="10" t="b">
        <v>1</v>
      </c>
      <c r="K70" s="10" t="s">
        <v>136</v>
      </c>
      <c r="L70" s="10" t="s">
        <v>30</v>
      </c>
      <c r="M70" s="10">
        <v>268</v>
      </c>
      <c r="N70" s="10">
        <v>2</v>
      </c>
      <c r="O70" s="10" t="s">
        <v>205</v>
      </c>
      <c r="P70" s="10">
        <v>24</v>
      </c>
      <c r="Q70" s="10" t="s">
        <v>16</v>
      </c>
      <c r="R70" s="10" t="s">
        <v>17</v>
      </c>
      <c r="S70" s="10" t="b">
        <v>0</v>
      </c>
      <c r="T70" s="10">
        <v>2</v>
      </c>
      <c r="U70" s="10" t="s">
        <v>17</v>
      </c>
      <c r="V70" s="10" t="s">
        <v>17</v>
      </c>
      <c r="W70" s="10">
        <f t="shared" si="2"/>
        <v>3</v>
      </c>
      <c r="X70" s="10" t="s">
        <v>333</v>
      </c>
    </row>
    <row r="71" spans="1:24" x14ac:dyDescent="0.3">
      <c r="A71" s="9">
        <v>44490</v>
      </c>
      <c r="B71" s="10" t="s">
        <v>393</v>
      </c>
      <c r="C71" s="11">
        <v>28998</v>
      </c>
      <c r="D71" s="10">
        <v>2020</v>
      </c>
      <c r="E71" s="10" t="s">
        <v>203</v>
      </c>
      <c r="F71" s="10" t="s">
        <v>394</v>
      </c>
      <c r="G71" s="10"/>
      <c r="H71" s="10" t="s">
        <v>395</v>
      </c>
      <c r="I71" s="21">
        <v>9936</v>
      </c>
      <c r="J71" s="10" t="b">
        <v>1</v>
      </c>
      <c r="K71" s="10" t="s">
        <v>136</v>
      </c>
      <c r="L71" s="10" t="s">
        <v>30</v>
      </c>
      <c r="M71" s="10">
        <v>268</v>
      </c>
      <c r="N71" s="10">
        <v>2</v>
      </c>
      <c r="O71" s="10" t="s">
        <v>205</v>
      </c>
      <c r="P71" s="10">
        <v>24</v>
      </c>
      <c r="Q71" s="10" t="s">
        <v>16</v>
      </c>
      <c r="R71" s="10" t="s">
        <v>17</v>
      </c>
      <c r="S71" s="10" t="b">
        <v>1</v>
      </c>
      <c r="T71" s="10">
        <v>2</v>
      </c>
      <c r="U71" s="10" t="s">
        <v>17</v>
      </c>
      <c r="V71" s="10" t="s">
        <v>17</v>
      </c>
      <c r="W71" s="10">
        <f t="shared" si="2"/>
        <v>1</v>
      </c>
      <c r="X71" s="10" t="s">
        <v>333</v>
      </c>
    </row>
    <row r="72" spans="1:24" x14ac:dyDescent="0.3">
      <c r="A72" s="9">
        <v>44490</v>
      </c>
      <c r="B72" s="10" t="s">
        <v>427</v>
      </c>
      <c r="C72" s="11">
        <v>16990</v>
      </c>
      <c r="D72" s="10">
        <v>2019</v>
      </c>
      <c r="E72" s="10" t="s">
        <v>68</v>
      </c>
      <c r="F72" s="10" t="s">
        <v>428</v>
      </c>
      <c r="G72" s="10" t="s">
        <v>294</v>
      </c>
      <c r="H72" s="10" t="s">
        <v>395</v>
      </c>
      <c r="I72" s="21">
        <v>19857</v>
      </c>
      <c r="J72" s="10" t="b">
        <v>0</v>
      </c>
      <c r="K72" s="10" t="s">
        <v>8</v>
      </c>
      <c r="L72" s="10" t="s">
        <v>30</v>
      </c>
      <c r="M72" s="10">
        <v>132</v>
      </c>
      <c r="N72" s="10">
        <v>1.8</v>
      </c>
      <c r="O72" s="10" t="s">
        <v>13</v>
      </c>
      <c r="P72" s="10">
        <v>31</v>
      </c>
      <c r="Q72" s="10" t="s">
        <v>16</v>
      </c>
      <c r="R72" s="10" t="s">
        <v>17</v>
      </c>
      <c r="S72" s="10" t="b">
        <v>0</v>
      </c>
      <c r="T72" s="10">
        <v>2</v>
      </c>
      <c r="U72" s="10" t="s">
        <v>25</v>
      </c>
      <c r="V72" s="10" t="s">
        <v>17</v>
      </c>
      <c r="W72" s="10">
        <f t="shared" si="2"/>
        <v>2</v>
      </c>
      <c r="X72" s="10" t="s">
        <v>333</v>
      </c>
    </row>
    <row r="73" spans="1:24" x14ac:dyDescent="0.3">
      <c r="A73" s="9">
        <v>44490</v>
      </c>
      <c r="B73" s="10" t="s">
        <v>421</v>
      </c>
      <c r="C73" s="11">
        <v>15500</v>
      </c>
      <c r="D73" s="10">
        <v>2017</v>
      </c>
      <c r="E73" s="10" t="s">
        <v>68</v>
      </c>
      <c r="F73" s="10" t="s">
        <v>69</v>
      </c>
      <c r="G73" s="10" t="s">
        <v>319</v>
      </c>
      <c r="H73" s="10" t="s">
        <v>395</v>
      </c>
      <c r="I73" s="21">
        <v>60901</v>
      </c>
      <c r="J73" s="10" t="b">
        <v>0</v>
      </c>
      <c r="K73" s="10" t="s">
        <v>8</v>
      </c>
      <c r="L73" s="10" t="s">
        <v>30</v>
      </c>
      <c r="M73" s="10">
        <v>178</v>
      </c>
      <c r="N73" s="10">
        <v>2.5</v>
      </c>
      <c r="O73" s="10" t="s">
        <v>13</v>
      </c>
      <c r="P73" s="10">
        <v>28</v>
      </c>
      <c r="Q73" s="10" t="s">
        <v>16</v>
      </c>
      <c r="R73" s="10" t="s">
        <v>25</v>
      </c>
      <c r="S73" s="10" t="b">
        <v>1</v>
      </c>
      <c r="T73" s="10">
        <v>2</v>
      </c>
      <c r="U73" s="10" t="s">
        <v>25</v>
      </c>
      <c r="V73" s="10" t="s">
        <v>17</v>
      </c>
      <c r="W73" s="10">
        <f t="shared" si="2"/>
        <v>4</v>
      </c>
      <c r="X73" s="10" t="s">
        <v>333</v>
      </c>
    </row>
    <row r="74" spans="1:24" x14ac:dyDescent="0.3">
      <c r="A74" s="9">
        <v>44490</v>
      </c>
      <c r="B74" s="10" t="s">
        <v>407</v>
      </c>
      <c r="C74" s="11">
        <v>21788</v>
      </c>
      <c r="D74" s="10">
        <v>2020</v>
      </c>
      <c r="E74" s="10" t="s">
        <v>94</v>
      </c>
      <c r="F74" s="10" t="s">
        <v>408</v>
      </c>
      <c r="G74" s="10" t="s">
        <v>409</v>
      </c>
      <c r="H74" s="10" t="s">
        <v>395</v>
      </c>
      <c r="I74" s="21">
        <v>4480</v>
      </c>
      <c r="J74" s="10" t="b">
        <v>0</v>
      </c>
      <c r="K74" s="10" t="s">
        <v>8</v>
      </c>
      <c r="L74" s="10" t="s">
        <v>30</v>
      </c>
      <c r="M74" s="10">
        <v>174</v>
      </c>
      <c r="N74" s="10">
        <v>2</v>
      </c>
      <c r="O74" s="10" t="s">
        <v>13</v>
      </c>
      <c r="P74" s="10">
        <v>28</v>
      </c>
      <c r="Q74" s="10" t="s">
        <v>16</v>
      </c>
      <c r="R74" s="10" t="s">
        <v>17</v>
      </c>
      <c r="S74" s="10" t="b">
        <v>0</v>
      </c>
      <c r="T74" s="10">
        <v>1</v>
      </c>
      <c r="U74" s="10" t="s">
        <v>17</v>
      </c>
      <c r="V74" s="10" t="s">
        <v>17</v>
      </c>
      <c r="W74" s="10">
        <f t="shared" si="2"/>
        <v>1</v>
      </c>
      <c r="X74" s="10" t="s">
        <v>334</v>
      </c>
    </row>
  </sheetData>
  <sortState xmlns:xlrd2="http://schemas.microsoft.com/office/spreadsheetml/2017/richdata2" ref="A2:X1048576">
    <sortCondition ref="E1:E1048576"/>
  </sortState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69AA9-3B87-493C-AAE1-08F4494BA080}">
  <dimension ref="A1:X61"/>
  <sheetViews>
    <sheetView workbookViewId="0">
      <pane xSplit="8" ySplit="1" topLeftCell="I2" activePane="bottomRight" state="frozen"/>
      <selection pane="topRight" activeCell="H1" sqref="H1"/>
      <selection pane="bottomLeft" activeCell="A2" sqref="A2"/>
      <selection pane="bottomRight" activeCell="A24" sqref="A2:X24"/>
    </sheetView>
  </sheetViews>
  <sheetFormatPr defaultRowHeight="14.4" x14ac:dyDescent="0.3"/>
  <cols>
    <col min="1" max="1" width="10.5546875" bestFit="1" customWidth="1"/>
    <col min="3" max="3" width="8.5546875" style="3" bestFit="1" customWidth="1"/>
    <col min="12" max="12" width="4.44140625" bestFit="1" customWidth="1"/>
    <col min="13" max="13" width="5" bestFit="1" customWidth="1"/>
    <col min="15" max="15" width="6.6640625" bestFit="1" customWidth="1"/>
    <col min="17" max="17" width="5.33203125" bestFit="1" customWidth="1"/>
  </cols>
  <sheetData>
    <row r="1" spans="1:24" s="1" customFormat="1" x14ac:dyDescent="0.3">
      <c r="A1" s="1" t="s">
        <v>166</v>
      </c>
      <c r="B1" s="1" t="s">
        <v>0</v>
      </c>
      <c r="C1" s="7" t="s">
        <v>331</v>
      </c>
      <c r="D1" s="1" t="s">
        <v>2</v>
      </c>
      <c r="E1" s="1" t="s">
        <v>1</v>
      </c>
      <c r="F1" s="1" t="s">
        <v>3</v>
      </c>
      <c r="G1" s="1" t="s">
        <v>4</v>
      </c>
      <c r="H1" s="1" t="s">
        <v>18</v>
      </c>
      <c r="I1" s="5" t="s">
        <v>6</v>
      </c>
      <c r="J1" s="1" t="s">
        <v>330</v>
      </c>
      <c r="K1" s="1" t="s">
        <v>7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14</v>
      </c>
      <c r="Q1" s="1" t="s">
        <v>15</v>
      </c>
      <c r="R1" s="1" t="s">
        <v>80</v>
      </c>
      <c r="S1" s="1" t="s">
        <v>328</v>
      </c>
      <c r="T1" s="1" t="s">
        <v>23</v>
      </c>
      <c r="U1" s="1" t="s">
        <v>24</v>
      </c>
      <c r="V1" s="1" t="s">
        <v>31</v>
      </c>
      <c r="W1" s="1" t="s">
        <v>329</v>
      </c>
      <c r="X1" s="1" t="s">
        <v>332</v>
      </c>
    </row>
    <row r="2" spans="1:24" x14ac:dyDescent="0.3">
      <c r="A2" s="9">
        <v>44489</v>
      </c>
      <c r="B2" s="10" t="s">
        <v>278</v>
      </c>
      <c r="C2" s="11">
        <v>5995</v>
      </c>
      <c r="D2" s="10">
        <v>2006</v>
      </c>
      <c r="E2" s="10" t="s">
        <v>182</v>
      </c>
      <c r="F2" s="10" t="s">
        <v>279</v>
      </c>
      <c r="G2" s="10" t="s">
        <v>57</v>
      </c>
      <c r="H2" s="10" t="s">
        <v>262</v>
      </c>
      <c r="I2" s="12">
        <v>134000</v>
      </c>
      <c r="J2" s="10" t="b">
        <v>0</v>
      </c>
      <c r="K2" s="10" t="s">
        <v>136</v>
      </c>
      <c r="L2" s="10" t="s">
        <v>30</v>
      </c>
      <c r="M2" s="10">
        <v>253</v>
      </c>
      <c r="N2" s="10">
        <v>3.5</v>
      </c>
      <c r="O2" s="10" t="s">
        <v>58</v>
      </c>
      <c r="P2" s="10">
        <v>18</v>
      </c>
      <c r="Q2" s="10" t="s">
        <v>16</v>
      </c>
      <c r="R2" s="10" t="s">
        <v>25</v>
      </c>
      <c r="S2" s="10" t="b">
        <v>1</v>
      </c>
      <c r="T2" s="10">
        <v>3</v>
      </c>
      <c r="U2" s="10" t="s">
        <v>17</v>
      </c>
      <c r="V2" s="10" t="s">
        <v>25</v>
      </c>
      <c r="W2" s="10">
        <f t="shared" ref="W2:W24" si="0">2021-D2</f>
        <v>15</v>
      </c>
      <c r="X2" s="10" t="s">
        <v>333</v>
      </c>
    </row>
    <row r="3" spans="1:24" x14ac:dyDescent="0.3">
      <c r="A3" s="9">
        <v>44489</v>
      </c>
      <c r="B3" s="10" t="s">
        <v>320</v>
      </c>
      <c r="C3" s="11">
        <v>23995</v>
      </c>
      <c r="D3" s="10">
        <v>2018</v>
      </c>
      <c r="E3" s="10" t="s">
        <v>38</v>
      </c>
      <c r="F3" s="10" t="s">
        <v>321</v>
      </c>
      <c r="G3" s="10" t="s">
        <v>322</v>
      </c>
      <c r="H3" s="10" t="s">
        <v>262</v>
      </c>
      <c r="I3" s="12">
        <v>52183</v>
      </c>
      <c r="J3" s="10" t="b">
        <v>0</v>
      </c>
      <c r="K3" s="10" t="s">
        <v>8</v>
      </c>
      <c r="L3" s="10" t="s">
        <v>30</v>
      </c>
      <c r="M3" s="10">
        <v>200</v>
      </c>
      <c r="N3" s="10">
        <v>2</v>
      </c>
      <c r="O3" s="10" t="s">
        <v>13</v>
      </c>
      <c r="P3" s="10">
        <v>24</v>
      </c>
      <c r="Q3" s="10" t="s">
        <v>16</v>
      </c>
      <c r="R3" s="10" t="s">
        <v>17</v>
      </c>
      <c r="S3" s="10" t="b">
        <v>1</v>
      </c>
      <c r="T3" s="10">
        <v>2</v>
      </c>
      <c r="U3" s="10" t="s">
        <v>25</v>
      </c>
      <c r="V3" s="10" t="s">
        <v>17</v>
      </c>
      <c r="W3" s="10">
        <f t="shared" si="0"/>
        <v>3</v>
      </c>
      <c r="X3" s="10" t="s">
        <v>334</v>
      </c>
    </row>
    <row r="4" spans="1:24" x14ac:dyDescent="0.3">
      <c r="A4" s="9">
        <v>44489</v>
      </c>
      <c r="B4" s="10" t="s">
        <v>323</v>
      </c>
      <c r="C4" s="11">
        <v>22899</v>
      </c>
      <c r="D4" s="10">
        <v>2016</v>
      </c>
      <c r="E4" s="10" t="s">
        <v>42</v>
      </c>
      <c r="F4" s="10" t="s">
        <v>324</v>
      </c>
      <c r="G4" s="10" t="s">
        <v>325</v>
      </c>
      <c r="H4" s="10" t="s">
        <v>262</v>
      </c>
      <c r="I4" s="12">
        <v>90888</v>
      </c>
      <c r="J4" s="10" t="b">
        <v>0</v>
      </c>
      <c r="K4" s="10" t="s">
        <v>136</v>
      </c>
      <c r="L4" s="10" t="s">
        <v>30</v>
      </c>
      <c r="M4" s="10">
        <v>300</v>
      </c>
      <c r="N4" s="10">
        <v>3</v>
      </c>
      <c r="O4" s="10" t="s">
        <v>49</v>
      </c>
      <c r="P4" s="10">
        <v>21</v>
      </c>
      <c r="Q4" s="10" t="s">
        <v>16</v>
      </c>
      <c r="R4" s="10" t="s">
        <v>17</v>
      </c>
      <c r="S4" s="10" t="b">
        <v>0</v>
      </c>
      <c r="T4" s="10">
        <v>2</v>
      </c>
      <c r="U4" s="10" t="s">
        <v>17</v>
      </c>
      <c r="V4" s="10" t="s">
        <v>17</v>
      </c>
      <c r="W4" s="10">
        <f t="shared" si="0"/>
        <v>5</v>
      </c>
      <c r="X4" s="10" t="s">
        <v>334</v>
      </c>
    </row>
    <row r="5" spans="1:24" x14ac:dyDescent="0.3">
      <c r="A5" s="9">
        <v>44489</v>
      </c>
      <c r="B5" s="10" t="s">
        <v>275</v>
      </c>
      <c r="C5" s="11">
        <v>9999</v>
      </c>
      <c r="D5" s="10">
        <v>2012</v>
      </c>
      <c r="E5" s="10" t="s">
        <v>119</v>
      </c>
      <c r="F5" s="10" t="s">
        <v>276</v>
      </c>
      <c r="G5" s="10" t="s">
        <v>277</v>
      </c>
      <c r="H5" s="10" t="s">
        <v>262</v>
      </c>
      <c r="I5" s="12">
        <v>125905</v>
      </c>
      <c r="J5" s="10" t="b">
        <v>0</v>
      </c>
      <c r="K5" s="10" t="s">
        <v>8</v>
      </c>
      <c r="L5" s="10" t="s">
        <v>73</v>
      </c>
      <c r="M5" s="10">
        <v>308</v>
      </c>
      <c r="N5" s="10">
        <v>3.6</v>
      </c>
      <c r="O5" s="10" t="s">
        <v>58</v>
      </c>
      <c r="P5" s="10">
        <v>20</v>
      </c>
      <c r="Q5" s="10" t="s">
        <v>16</v>
      </c>
      <c r="R5" s="10" t="s">
        <v>17</v>
      </c>
      <c r="S5" s="10" t="b">
        <v>1</v>
      </c>
      <c r="T5" s="10">
        <v>2</v>
      </c>
      <c r="U5" s="10" t="s">
        <v>17</v>
      </c>
      <c r="V5" s="10" t="s">
        <v>17</v>
      </c>
      <c r="W5" s="10">
        <f t="shared" si="0"/>
        <v>9</v>
      </c>
      <c r="X5" s="10" t="s">
        <v>335</v>
      </c>
    </row>
    <row r="6" spans="1:24" x14ac:dyDescent="0.3">
      <c r="A6" s="9">
        <v>44489</v>
      </c>
      <c r="B6" s="10" t="s">
        <v>305</v>
      </c>
      <c r="C6" s="11">
        <v>18998</v>
      </c>
      <c r="D6" s="10">
        <v>2013</v>
      </c>
      <c r="E6" s="10" t="s">
        <v>119</v>
      </c>
      <c r="F6" s="10" t="s">
        <v>306</v>
      </c>
      <c r="G6" s="10" t="s">
        <v>307</v>
      </c>
      <c r="H6" s="10" t="s">
        <v>262</v>
      </c>
      <c r="I6" s="12">
        <v>142474</v>
      </c>
      <c r="J6" s="10" t="b">
        <v>0</v>
      </c>
      <c r="K6" s="10" t="s">
        <v>136</v>
      </c>
      <c r="L6" s="10" t="s">
        <v>73</v>
      </c>
      <c r="M6" s="10">
        <v>403</v>
      </c>
      <c r="N6" s="10">
        <v>6.2</v>
      </c>
      <c r="O6" s="10" t="s">
        <v>74</v>
      </c>
      <c r="P6" s="10">
        <v>15</v>
      </c>
      <c r="Q6" s="10" t="s">
        <v>16</v>
      </c>
      <c r="R6" s="10" t="s">
        <v>17</v>
      </c>
      <c r="S6" s="10" t="b">
        <v>0</v>
      </c>
      <c r="T6" s="10">
        <v>3</v>
      </c>
      <c r="U6" s="10" t="s">
        <v>25</v>
      </c>
      <c r="V6" s="10" t="s">
        <v>17</v>
      </c>
      <c r="W6" s="10">
        <f t="shared" si="0"/>
        <v>8</v>
      </c>
      <c r="X6" s="10" t="s">
        <v>335</v>
      </c>
    </row>
    <row r="7" spans="1:24" x14ac:dyDescent="0.3">
      <c r="A7" s="9">
        <v>44489</v>
      </c>
      <c r="B7" s="10" t="s">
        <v>293</v>
      </c>
      <c r="C7" s="11">
        <v>11000</v>
      </c>
      <c r="D7" s="10">
        <v>2017</v>
      </c>
      <c r="E7" s="10" t="s">
        <v>228</v>
      </c>
      <c r="F7" s="10" t="s">
        <v>226</v>
      </c>
      <c r="G7" s="10" t="s">
        <v>294</v>
      </c>
      <c r="H7" s="10" t="s">
        <v>262</v>
      </c>
      <c r="I7" s="12">
        <v>86475</v>
      </c>
      <c r="J7" s="10" t="b">
        <v>0</v>
      </c>
      <c r="K7" s="10" t="s">
        <v>8</v>
      </c>
      <c r="L7" s="10" t="s">
        <v>30</v>
      </c>
      <c r="M7" s="10">
        <v>173</v>
      </c>
      <c r="N7" s="10">
        <v>2.4</v>
      </c>
      <c r="O7" s="10" t="s">
        <v>13</v>
      </c>
      <c r="P7" s="10">
        <v>22</v>
      </c>
      <c r="Q7" s="10" t="s">
        <v>16</v>
      </c>
      <c r="R7" s="10" t="s">
        <v>17</v>
      </c>
      <c r="S7" s="10" t="b">
        <v>1</v>
      </c>
      <c r="T7" s="10">
        <v>2</v>
      </c>
      <c r="U7" s="10" t="s">
        <v>17</v>
      </c>
      <c r="V7" s="10" t="s">
        <v>17</v>
      </c>
      <c r="W7" s="10">
        <f t="shared" si="0"/>
        <v>4</v>
      </c>
      <c r="X7" s="10" t="s">
        <v>335</v>
      </c>
    </row>
    <row r="8" spans="1:24" x14ac:dyDescent="0.3">
      <c r="A8" s="9">
        <v>44489</v>
      </c>
      <c r="B8" s="10" t="s">
        <v>311</v>
      </c>
      <c r="C8" s="11">
        <v>23400</v>
      </c>
      <c r="D8" s="10">
        <v>2019</v>
      </c>
      <c r="E8" s="10" t="s">
        <v>63</v>
      </c>
      <c r="F8" s="10" t="s">
        <v>73</v>
      </c>
      <c r="G8" s="10" t="s">
        <v>294</v>
      </c>
      <c r="H8" s="10" t="s">
        <v>262</v>
      </c>
      <c r="I8" s="12">
        <v>8742</v>
      </c>
      <c r="J8" s="10" t="b">
        <v>0</v>
      </c>
      <c r="K8" s="10" t="s">
        <v>8</v>
      </c>
      <c r="L8" s="10" t="s">
        <v>30</v>
      </c>
      <c r="M8" s="10">
        <v>287</v>
      </c>
      <c r="N8" s="10">
        <v>3.5</v>
      </c>
      <c r="O8" s="10" t="s">
        <v>58</v>
      </c>
      <c r="P8" s="10">
        <v>19</v>
      </c>
      <c r="Q8" s="10" t="s">
        <v>16</v>
      </c>
      <c r="R8" s="10" t="s">
        <v>17</v>
      </c>
      <c r="S8" s="10" t="b">
        <v>1</v>
      </c>
      <c r="T8" s="10">
        <v>1</v>
      </c>
      <c r="U8" s="10" t="s">
        <v>17</v>
      </c>
      <c r="V8" s="10" t="s">
        <v>17</v>
      </c>
      <c r="W8" s="10">
        <f t="shared" si="0"/>
        <v>2</v>
      </c>
      <c r="X8" s="10" t="s">
        <v>335</v>
      </c>
    </row>
    <row r="9" spans="1:24" x14ac:dyDescent="0.3">
      <c r="A9" s="9">
        <v>44489</v>
      </c>
      <c r="B9" s="10" t="s">
        <v>312</v>
      </c>
      <c r="C9" s="11">
        <v>29990</v>
      </c>
      <c r="D9" s="10">
        <v>2016</v>
      </c>
      <c r="E9" s="10" t="s">
        <v>280</v>
      </c>
      <c r="F9" s="10" t="s">
        <v>284</v>
      </c>
      <c r="G9" s="10" t="s">
        <v>313</v>
      </c>
      <c r="H9" s="10" t="s">
        <v>262</v>
      </c>
      <c r="I9" s="12">
        <v>104812</v>
      </c>
      <c r="J9" s="10" t="b">
        <v>0</v>
      </c>
      <c r="K9" s="10" t="s">
        <v>314</v>
      </c>
      <c r="L9" s="10" t="s">
        <v>73</v>
      </c>
      <c r="M9" s="10">
        <v>355</v>
      </c>
      <c r="N9" s="10">
        <v>5.3</v>
      </c>
      <c r="O9" s="10" t="s">
        <v>74</v>
      </c>
      <c r="P9" s="10">
        <v>19</v>
      </c>
      <c r="Q9" s="10" t="s">
        <v>16</v>
      </c>
      <c r="R9" s="10" t="s">
        <v>17</v>
      </c>
      <c r="S9" s="10" t="b">
        <v>1</v>
      </c>
      <c r="T9" s="10">
        <v>2</v>
      </c>
      <c r="U9" s="10" t="s">
        <v>17</v>
      </c>
      <c r="V9" s="10" t="s">
        <v>17</v>
      </c>
      <c r="W9" s="10">
        <f t="shared" si="0"/>
        <v>5</v>
      </c>
      <c r="X9" s="10" t="s">
        <v>335</v>
      </c>
    </row>
    <row r="10" spans="1:24" x14ac:dyDescent="0.3">
      <c r="A10" s="9">
        <v>44489</v>
      </c>
      <c r="B10" s="10" t="s">
        <v>285</v>
      </c>
      <c r="C10" s="11">
        <v>17995</v>
      </c>
      <c r="D10" s="10">
        <v>2016</v>
      </c>
      <c r="E10" s="10" t="s">
        <v>168</v>
      </c>
      <c r="F10" s="10" t="s">
        <v>286</v>
      </c>
      <c r="G10" s="10" t="s">
        <v>287</v>
      </c>
      <c r="H10" s="10" t="s">
        <v>262</v>
      </c>
      <c r="I10" s="12">
        <v>99565</v>
      </c>
      <c r="J10" s="10" t="b">
        <v>0</v>
      </c>
      <c r="K10" s="10" t="s">
        <v>8</v>
      </c>
      <c r="L10" s="10" t="s">
        <v>30</v>
      </c>
      <c r="M10" s="10">
        <v>185</v>
      </c>
      <c r="N10" s="10">
        <v>2.4</v>
      </c>
      <c r="O10" s="10" t="s">
        <v>13</v>
      </c>
      <c r="P10" s="10">
        <v>29</v>
      </c>
      <c r="Q10" s="10" t="s">
        <v>16</v>
      </c>
      <c r="R10" s="10" t="s">
        <v>17</v>
      </c>
      <c r="S10" s="10" t="b">
        <v>0</v>
      </c>
      <c r="T10" s="10">
        <v>2</v>
      </c>
      <c r="U10" s="10" t="s">
        <v>17</v>
      </c>
      <c r="V10" s="10" t="s">
        <v>17</v>
      </c>
      <c r="W10" s="10">
        <f t="shared" si="0"/>
        <v>5</v>
      </c>
      <c r="X10" s="10" t="s">
        <v>333</v>
      </c>
    </row>
    <row r="11" spans="1:24" x14ac:dyDescent="0.3">
      <c r="A11" s="9">
        <v>44489</v>
      </c>
      <c r="B11" s="10" t="s">
        <v>288</v>
      </c>
      <c r="C11" s="11">
        <v>14998</v>
      </c>
      <c r="D11" s="10">
        <v>2018</v>
      </c>
      <c r="E11" s="10" t="s">
        <v>177</v>
      </c>
      <c r="F11" s="10" t="s">
        <v>289</v>
      </c>
      <c r="G11" s="10" t="s">
        <v>290</v>
      </c>
      <c r="H11" s="10" t="s">
        <v>262</v>
      </c>
      <c r="I11" s="12">
        <v>109029</v>
      </c>
      <c r="J11" s="10" t="b">
        <v>0</v>
      </c>
      <c r="K11" s="10" t="s">
        <v>8</v>
      </c>
      <c r="L11" s="10" t="s">
        <v>30</v>
      </c>
      <c r="M11" s="10">
        <v>185</v>
      </c>
      <c r="N11" s="10">
        <v>2.4</v>
      </c>
      <c r="O11" s="10" t="s">
        <v>13</v>
      </c>
      <c r="P11" s="10">
        <v>24</v>
      </c>
      <c r="Q11" s="10" t="s">
        <v>16</v>
      </c>
      <c r="R11" s="10" t="s">
        <v>17</v>
      </c>
      <c r="S11" s="10" t="b">
        <v>0</v>
      </c>
      <c r="T11" s="10">
        <v>2</v>
      </c>
      <c r="U11" s="10" t="s">
        <v>25</v>
      </c>
      <c r="V11" s="10" t="s">
        <v>17</v>
      </c>
      <c r="W11" s="10">
        <f t="shared" si="0"/>
        <v>3</v>
      </c>
      <c r="X11" s="10" t="s">
        <v>537</v>
      </c>
    </row>
    <row r="12" spans="1:24" x14ac:dyDescent="0.3">
      <c r="A12" s="9">
        <v>44489</v>
      </c>
      <c r="B12" s="10" t="s">
        <v>295</v>
      </c>
      <c r="C12" s="11">
        <v>14999</v>
      </c>
      <c r="D12" s="10">
        <v>2016</v>
      </c>
      <c r="E12" s="10" t="s">
        <v>296</v>
      </c>
      <c r="F12" s="10" t="s">
        <v>297</v>
      </c>
      <c r="G12" s="10" t="s">
        <v>204</v>
      </c>
      <c r="H12" s="10" t="s">
        <v>262</v>
      </c>
      <c r="I12" s="12">
        <v>72799</v>
      </c>
      <c r="J12" s="10" t="b">
        <v>0</v>
      </c>
      <c r="K12" s="10" t="s">
        <v>283</v>
      </c>
      <c r="L12" s="10" t="s">
        <v>30</v>
      </c>
      <c r="M12" s="10">
        <v>180</v>
      </c>
      <c r="N12" s="10">
        <v>2.4</v>
      </c>
      <c r="O12" s="10" t="s">
        <v>13</v>
      </c>
      <c r="P12" s="10">
        <v>25</v>
      </c>
      <c r="Q12" s="10" t="s">
        <v>16</v>
      </c>
      <c r="R12" s="10" t="s">
        <v>17</v>
      </c>
      <c r="S12" s="10" t="b">
        <v>1</v>
      </c>
      <c r="T12" s="10">
        <v>2</v>
      </c>
      <c r="U12" s="10" t="s">
        <v>17</v>
      </c>
      <c r="V12" s="10" t="s">
        <v>25</v>
      </c>
      <c r="W12" s="10">
        <f t="shared" si="0"/>
        <v>5</v>
      </c>
      <c r="X12" s="10" t="s">
        <v>335</v>
      </c>
    </row>
    <row r="13" spans="1:24" x14ac:dyDescent="0.3">
      <c r="A13" s="9">
        <v>44489</v>
      </c>
      <c r="B13" s="10" t="s">
        <v>298</v>
      </c>
      <c r="C13" s="11">
        <v>18995</v>
      </c>
      <c r="D13" s="10">
        <v>2013</v>
      </c>
      <c r="E13" s="10" t="s">
        <v>296</v>
      </c>
      <c r="F13" s="10" t="s">
        <v>299</v>
      </c>
      <c r="G13" s="10" t="s">
        <v>198</v>
      </c>
      <c r="H13" s="10" t="s">
        <v>262</v>
      </c>
      <c r="I13" s="12">
        <v>101294</v>
      </c>
      <c r="J13" s="10" t="b">
        <v>0</v>
      </c>
      <c r="K13" s="10" t="s">
        <v>283</v>
      </c>
      <c r="L13" s="10" t="s">
        <v>30</v>
      </c>
      <c r="M13" s="10">
        <v>285</v>
      </c>
      <c r="N13" s="10">
        <v>3.6</v>
      </c>
      <c r="O13" s="10" t="s">
        <v>58</v>
      </c>
      <c r="P13" s="10">
        <v>19</v>
      </c>
      <c r="Q13" s="10" t="s">
        <v>16</v>
      </c>
      <c r="R13" s="10" t="s">
        <v>17</v>
      </c>
      <c r="S13" s="10" t="b">
        <v>1</v>
      </c>
      <c r="T13" s="10">
        <v>5</v>
      </c>
      <c r="U13" s="10" t="s">
        <v>17</v>
      </c>
      <c r="V13" s="10" t="s">
        <v>17</v>
      </c>
      <c r="W13" s="10">
        <f t="shared" si="0"/>
        <v>8</v>
      </c>
      <c r="X13" s="10" t="s">
        <v>335</v>
      </c>
    </row>
    <row r="14" spans="1:24" x14ac:dyDescent="0.3">
      <c r="A14" s="9">
        <v>44489</v>
      </c>
      <c r="B14" s="10" t="s">
        <v>326</v>
      </c>
      <c r="C14" s="11">
        <v>23000</v>
      </c>
      <c r="D14" s="10">
        <v>2012</v>
      </c>
      <c r="E14" s="10" t="s">
        <v>296</v>
      </c>
      <c r="F14" s="10" t="s">
        <v>299</v>
      </c>
      <c r="G14" s="10" t="s">
        <v>327</v>
      </c>
      <c r="H14" s="10" t="s">
        <v>262</v>
      </c>
      <c r="I14" s="12">
        <v>85450</v>
      </c>
      <c r="J14" s="10" t="b">
        <v>0</v>
      </c>
      <c r="K14" s="10" t="s">
        <v>283</v>
      </c>
      <c r="L14" s="10" t="s">
        <v>30</v>
      </c>
      <c r="M14" s="10">
        <v>285</v>
      </c>
      <c r="N14" s="10">
        <v>3.6</v>
      </c>
      <c r="O14" s="10" t="s">
        <v>58</v>
      </c>
      <c r="P14" s="10">
        <v>18</v>
      </c>
      <c r="Q14" s="10" t="s">
        <v>16</v>
      </c>
      <c r="R14" s="10" t="s">
        <v>25</v>
      </c>
      <c r="S14" s="10" t="b">
        <v>1</v>
      </c>
      <c r="T14" s="10">
        <v>2</v>
      </c>
      <c r="U14" s="10" t="s">
        <v>17</v>
      </c>
      <c r="V14" s="10" t="s">
        <v>17</v>
      </c>
      <c r="W14" s="10">
        <f t="shared" si="0"/>
        <v>9</v>
      </c>
      <c r="X14" s="10" t="s">
        <v>335</v>
      </c>
    </row>
    <row r="15" spans="1:24" x14ac:dyDescent="0.3">
      <c r="A15" s="9">
        <v>44489</v>
      </c>
      <c r="B15" s="10" t="s">
        <v>300</v>
      </c>
      <c r="C15" s="11">
        <v>13899</v>
      </c>
      <c r="D15" s="10">
        <v>2012</v>
      </c>
      <c r="E15" s="10" t="s">
        <v>281</v>
      </c>
      <c r="F15" s="10" t="s">
        <v>282</v>
      </c>
      <c r="G15" s="10" t="s">
        <v>301</v>
      </c>
      <c r="H15" s="10" t="s">
        <v>262</v>
      </c>
      <c r="I15" s="12">
        <v>102670</v>
      </c>
      <c r="J15" s="10" t="b">
        <v>0</v>
      </c>
      <c r="K15" s="10" t="s">
        <v>283</v>
      </c>
      <c r="L15" s="10" t="s">
        <v>30</v>
      </c>
      <c r="M15" s="10">
        <v>375</v>
      </c>
      <c r="N15" s="10">
        <v>5</v>
      </c>
      <c r="O15" s="10" t="s">
        <v>74</v>
      </c>
      <c r="P15" s="10">
        <v>15</v>
      </c>
      <c r="Q15" s="10" t="s">
        <v>16</v>
      </c>
      <c r="R15" s="10" t="s">
        <v>17</v>
      </c>
      <c r="S15" s="10" t="b">
        <v>0</v>
      </c>
      <c r="T15" s="10">
        <v>2</v>
      </c>
      <c r="U15" s="10" t="s">
        <v>17</v>
      </c>
      <c r="V15" s="10" t="s">
        <v>17</v>
      </c>
      <c r="W15" s="10">
        <f t="shared" si="0"/>
        <v>9</v>
      </c>
      <c r="X15" s="10" t="s">
        <v>337</v>
      </c>
    </row>
    <row r="16" spans="1:24" x14ac:dyDescent="0.3">
      <c r="A16" s="9">
        <v>44489</v>
      </c>
      <c r="B16" s="10" t="s">
        <v>263</v>
      </c>
      <c r="C16" s="11">
        <v>8599</v>
      </c>
      <c r="D16" s="10">
        <v>2011</v>
      </c>
      <c r="E16" s="10" t="s">
        <v>264</v>
      </c>
      <c r="F16" s="10" t="s">
        <v>265</v>
      </c>
      <c r="G16" s="10"/>
      <c r="H16" s="10" t="s">
        <v>262</v>
      </c>
      <c r="I16" s="10">
        <v>136710</v>
      </c>
      <c r="J16" s="10" t="b">
        <v>0</v>
      </c>
      <c r="K16" s="10" t="s">
        <v>136</v>
      </c>
      <c r="L16" s="10" t="s">
        <v>30</v>
      </c>
      <c r="M16" s="10">
        <v>305</v>
      </c>
      <c r="N16" s="10">
        <v>3.7</v>
      </c>
      <c r="O16" s="10" t="s">
        <v>58</v>
      </c>
      <c r="P16" s="10">
        <v>20</v>
      </c>
      <c r="Q16" s="10" t="s">
        <v>16</v>
      </c>
      <c r="R16" s="10" t="s">
        <v>17</v>
      </c>
      <c r="S16" s="10" t="b">
        <v>0</v>
      </c>
      <c r="T16" s="10">
        <v>2</v>
      </c>
      <c r="U16" s="10" t="s">
        <v>17</v>
      </c>
      <c r="V16" s="10" t="s">
        <v>17</v>
      </c>
      <c r="W16" s="10">
        <f t="shared" si="0"/>
        <v>10</v>
      </c>
      <c r="X16" s="10" t="s">
        <v>335</v>
      </c>
    </row>
    <row r="17" spans="1:24" x14ac:dyDescent="0.3">
      <c r="A17" s="9">
        <v>44489</v>
      </c>
      <c r="B17" s="10" t="s">
        <v>291</v>
      </c>
      <c r="C17" s="11">
        <v>19995</v>
      </c>
      <c r="D17" s="10">
        <v>2018</v>
      </c>
      <c r="E17" s="10" t="s">
        <v>92</v>
      </c>
      <c r="F17" s="10" t="s">
        <v>292</v>
      </c>
      <c r="G17" s="10" t="s">
        <v>141</v>
      </c>
      <c r="H17" s="10" t="s">
        <v>262</v>
      </c>
      <c r="I17" s="12">
        <v>94309</v>
      </c>
      <c r="J17" s="10" t="b">
        <v>0</v>
      </c>
      <c r="K17" s="10" t="s">
        <v>8</v>
      </c>
      <c r="L17" s="10" t="s">
        <v>30</v>
      </c>
      <c r="M17" s="10">
        <v>187</v>
      </c>
      <c r="N17" s="10">
        <v>2.5</v>
      </c>
      <c r="O17" s="10" t="s">
        <v>13</v>
      </c>
      <c r="P17" s="10">
        <v>28</v>
      </c>
      <c r="Q17" s="10" t="s">
        <v>16</v>
      </c>
      <c r="R17" s="10" t="s">
        <v>17</v>
      </c>
      <c r="S17" s="10" t="b">
        <v>0</v>
      </c>
      <c r="T17" s="10">
        <v>2</v>
      </c>
      <c r="U17" s="10" t="s">
        <v>25</v>
      </c>
      <c r="V17" s="10" t="s">
        <v>17</v>
      </c>
      <c r="W17" s="10">
        <f t="shared" si="0"/>
        <v>3</v>
      </c>
      <c r="X17" s="10" t="s">
        <v>333</v>
      </c>
    </row>
    <row r="18" spans="1:24" x14ac:dyDescent="0.3">
      <c r="A18" s="9">
        <v>44489</v>
      </c>
      <c r="B18" s="10" t="s">
        <v>269</v>
      </c>
      <c r="C18" s="11">
        <v>7950</v>
      </c>
      <c r="D18" s="10">
        <v>2010</v>
      </c>
      <c r="E18" s="10" t="s">
        <v>44</v>
      </c>
      <c r="F18" s="10" t="s">
        <v>270</v>
      </c>
      <c r="G18" s="10" t="s">
        <v>271</v>
      </c>
      <c r="H18" s="10" t="s">
        <v>262</v>
      </c>
      <c r="I18" s="12">
        <v>147841</v>
      </c>
      <c r="J18" s="10" t="b">
        <v>0</v>
      </c>
      <c r="K18" s="10" t="s">
        <v>36</v>
      </c>
      <c r="L18" s="10" t="s">
        <v>30</v>
      </c>
      <c r="M18" s="10">
        <v>268</v>
      </c>
      <c r="N18" s="10">
        <v>3.5</v>
      </c>
      <c r="O18" s="10" t="s">
        <v>58</v>
      </c>
      <c r="P18" s="10">
        <v>18</v>
      </c>
      <c r="Q18" s="10" t="s">
        <v>16</v>
      </c>
      <c r="R18" s="10" t="s">
        <v>17</v>
      </c>
      <c r="S18" s="10" t="b">
        <v>1</v>
      </c>
      <c r="T18" s="10">
        <v>4</v>
      </c>
      <c r="U18" s="10" t="s">
        <v>17</v>
      </c>
      <c r="V18" s="10" t="s">
        <v>17</v>
      </c>
      <c r="W18" s="10">
        <f t="shared" si="0"/>
        <v>11</v>
      </c>
      <c r="X18" s="10" t="s">
        <v>334</v>
      </c>
    </row>
    <row r="19" spans="1:24" x14ac:dyDescent="0.3">
      <c r="A19" s="9">
        <v>44489</v>
      </c>
      <c r="B19" s="10" t="s">
        <v>302</v>
      </c>
      <c r="C19" s="11">
        <v>12499</v>
      </c>
      <c r="D19" s="10">
        <v>2012</v>
      </c>
      <c r="E19" s="10" t="s">
        <v>44</v>
      </c>
      <c r="F19" s="10" t="s">
        <v>303</v>
      </c>
      <c r="G19" s="10" t="s">
        <v>304</v>
      </c>
      <c r="H19" s="10" t="s">
        <v>262</v>
      </c>
      <c r="I19" s="12">
        <v>106520</v>
      </c>
      <c r="J19" s="10" t="b">
        <v>0</v>
      </c>
      <c r="K19" s="10" t="s">
        <v>136</v>
      </c>
      <c r="L19" s="10" t="s">
        <v>30</v>
      </c>
      <c r="M19" s="10">
        <v>268</v>
      </c>
      <c r="N19" s="10">
        <v>3.5</v>
      </c>
      <c r="O19" s="10" t="s">
        <v>58</v>
      </c>
      <c r="P19" s="10">
        <v>18</v>
      </c>
      <c r="Q19" s="10" t="s">
        <v>16</v>
      </c>
      <c r="R19" s="10" t="s">
        <v>17</v>
      </c>
      <c r="S19" s="10" t="b">
        <v>0</v>
      </c>
      <c r="T19" s="10">
        <v>3</v>
      </c>
      <c r="U19" s="10" t="s">
        <v>17</v>
      </c>
      <c r="V19" s="10" t="s">
        <v>17</v>
      </c>
      <c r="W19" s="10">
        <f t="shared" si="0"/>
        <v>9</v>
      </c>
      <c r="X19" s="10" t="s">
        <v>334</v>
      </c>
    </row>
    <row r="20" spans="1:24" x14ac:dyDescent="0.3">
      <c r="A20" s="9">
        <v>44489</v>
      </c>
      <c r="B20" s="10" t="s">
        <v>272</v>
      </c>
      <c r="C20" s="11">
        <v>5500</v>
      </c>
      <c r="D20" s="10">
        <v>2009</v>
      </c>
      <c r="E20" s="10" t="s">
        <v>203</v>
      </c>
      <c r="F20" s="10" t="s">
        <v>273</v>
      </c>
      <c r="G20" s="10" t="s">
        <v>274</v>
      </c>
      <c r="H20" s="10" t="s">
        <v>262</v>
      </c>
      <c r="I20" s="12">
        <v>160000</v>
      </c>
      <c r="J20" s="10" t="b">
        <v>1</v>
      </c>
      <c r="K20" s="10" t="s">
        <v>136</v>
      </c>
      <c r="L20" s="10" t="s">
        <v>30</v>
      </c>
      <c r="M20" s="10">
        <v>170</v>
      </c>
      <c r="N20" s="10">
        <v>2.5</v>
      </c>
      <c r="O20" s="10" t="s">
        <v>205</v>
      </c>
      <c r="P20" s="10">
        <v>23</v>
      </c>
      <c r="Q20" s="10" t="s">
        <v>16</v>
      </c>
      <c r="R20" s="10" t="s">
        <v>17</v>
      </c>
      <c r="S20" s="10" t="b">
        <v>1</v>
      </c>
      <c r="T20" s="10">
        <v>2</v>
      </c>
      <c r="U20" s="10" t="s">
        <v>17</v>
      </c>
      <c r="V20" s="10" t="s">
        <v>17</v>
      </c>
      <c r="W20" s="10">
        <f t="shared" si="0"/>
        <v>12</v>
      </c>
      <c r="X20" s="10" t="s">
        <v>333</v>
      </c>
    </row>
    <row r="21" spans="1:24" x14ac:dyDescent="0.3">
      <c r="A21" s="9">
        <v>44489</v>
      </c>
      <c r="B21" s="10" t="s">
        <v>267</v>
      </c>
      <c r="C21" s="11">
        <v>4999</v>
      </c>
      <c r="D21" s="10">
        <v>2006</v>
      </c>
      <c r="E21" s="10" t="s">
        <v>68</v>
      </c>
      <c r="F21" s="10" t="s">
        <v>268</v>
      </c>
      <c r="G21" s="10" t="s">
        <v>204</v>
      </c>
      <c r="H21" s="10" t="s">
        <v>262</v>
      </c>
      <c r="I21" s="12">
        <v>233784</v>
      </c>
      <c r="J21" s="10" t="b">
        <v>0</v>
      </c>
      <c r="K21" s="10" t="s">
        <v>36</v>
      </c>
      <c r="L21" s="10" t="s">
        <v>30</v>
      </c>
      <c r="M21" s="10">
        <v>273</v>
      </c>
      <c r="N21" s="10">
        <v>4.7</v>
      </c>
      <c r="O21" s="10" t="s">
        <v>74</v>
      </c>
      <c r="P21" s="10">
        <v>15</v>
      </c>
      <c r="Q21" s="10" t="s">
        <v>16</v>
      </c>
      <c r="R21" s="10" t="s">
        <v>17</v>
      </c>
      <c r="S21" s="10" t="b">
        <v>1</v>
      </c>
      <c r="T21" s="10">
        <v>4</v>
      </c>
      <c r="U21" s="10" t="s">
        <v>17</v>
      </c>
      <c r="V21" s="10" t="s">
        <v>17</v>
      </c>
      <c r="W21" s="10">
        <f t="shared" si="0"/>
        <v>15</v>
      </c>
      <c r="X21" s="10" t="s">
        <v>333</v>
      </c>
    </row>
    <row r="22" spans="1:24" x14ac:dyDescent="0.3">
      <c r="A22" s="9">
        <v>44489</v>
      </c>
      <c r="B22" s="10" t="s">
        <v>317</v>
      </c>
      <c r="C22" s="11">
        <v>26619</v>
      </c>
      <c r="D22" s="10">
        <v>2019</v>
      </c>
      <c r="E22" s="10" t="s">
        <v>68</v>
      </c>
      <c r="F22" s="10" t="s">
        <v>318</v>
      </c>
      <c r="G22" s="10" t="s">
        <v>319</v>
      </c>
      <c r="H22" s="10" t="s">
        <v>262</v>
      </c>
      <c r="I22" s="12">
        <v>12111</v>
      </c>
      <c r="J22" s="10" t="b">
        <v>0</v>
      </c>
      <c r="K22" s="10" t="s">
        <v>136</v>
      </c>
      <c r="L22" s="10" t="s">
        <v>30</v>
      </c>
      <c r="M22" s="10">
        <v>203</v>
      </c>
      <c r="N22" s="10">
        <v>2.5</v>
      </c>
      <c r="O22" s="10" t="s">
        <v>13</v>
      </c>
      <c r="P22" s="10">
        <v>29</v>
      </c>
      <c r="Q22" s="10" t="s">
        <v>16</v>
      </c>
      <c r="R22" s="10" t="s">
        <v>17</v>
      </c>
      <c r="S22" s="10" t="b">
        <v>0</v>
      </c>
      <c r="T22" s="10">
        <v>1</v>
      </c>
      <c r="U22" s="10" t="s">
        <v>17</v>
      </c>
      <c r="V22" s="10" t="s">
        <v>17</v>
      </c>
      <c r="W22" s="10">
        <f t="shared" si="0"/>
        <v>2</v>
      </c>
      <c r="X22" s="10" t="s">
        <v>333</v>
      </c>
    </row>
    <row r="23" spans="1:24" x14ac:dyDescent="0.3">
      <c r="A23" s="9">
        <v>44489</v>
      </c>
      <c r="B23" s="10" t="s">
        <v>308</v>
      </c>
      <c r="C23" s="11">
        <v>18193</v>
      </c>
      <c r="D23" s="10">
        <v>2012</v>
      </c>
      <c r="E23" s="10" t="s">
        <v>94</v>
      </c>
      <c r="F23" s="10" t="s">
        <v>309</v>
      </c>
      <c r="G23" s="10" t="s">
        <v>310</v>
      </c>
      <c r="H23" s="10" t="s">
        <v>262</v>
      </c>
      <c r="I23" s="12">
        <v>75500</v>
      </c>
      <c r="J23" s="10" t="b">
        <v>0</v>
      </c>
      <c r="K23" s="10" t="s">
        <v>136</v>
      </c>
      <c r="L23" s="10" t="s">
        <v>266</v>
      </c>
      <c r="M23" s="10">
        <v>225</v>
      </c>
      <c r="N23" s="10">
        <v>3</v>
      </c>
      <c r="O23" s="10" t="s">
        <v>58</v>
      </c>
      <c r="P23" s="10">
        <v>23</v>
      </c>
      <c r="Q23" s="10" t="s">
        <v>16</v>
      </c>
      <c r="R23" s="10" t="s">
        <v>17</v>
      </c>
      <c r="S23" s="10" t="b">
        <v>0</v>
      </c>
      <c r="T23" s="10">
        <v>2</v>
      </c>
      <c r="U23" s="10" t="s">
        <v>17</v>
      </c>
      <c r="V23" s="10" t="s">
        <v>25</v>
      </c>
      <c r="W23" s="10">
        <f t="shared" si="0"/>
        <v>9</v>
      </c>
      <c r="X23" s="10" t="s">
        <v>334</v>
      </c>
    </row>
    <row r="24" spans="1:24" x14ac:dyDescent="0.3">
      <c r="A24" s="9">
        <v>44489</v>
      </c>
      <c r="B24" s="10" t="s">
        <v>315</v>
      </c>
      <c r="C24" s="11">
        <v>21995</v>
      </c>
      <c r="D24" s="10">
        <v>2020</v>
      </c>
      <c r="E24" s="10" t="s">
        <v>94</v>
      </c>
      <c r="F24" s="10" t="s">
        <v>316</v>
      </c>
      <c r="G24" s="10" t="s">
        <v>29</v>
      </c>
      <c r="H24" s="10" t="s">
        <v>262</v>
      </c>
      <c r="I24" s="12">
        <v>14215</v>
      </c>
      <c r="J24" s="10" t="b">
        <v>0</v>
      </c>
      <c r="K24" s="10" t="s">
        <v>8</v>
      </c>
      <c r="L24" s="10" t="s">
        <v>30</v>
      </c>
      <c r="M24" s="10">
        <v>184</v>
      </c>
      <c r="N24" s="10">
        <v>2</v>
      </c>
      <c r="O24" s="10" t="s">
        <v>13</v>
      </c>
      <c r="P24" s="10">
        <v>25</v>
      </c>
      <c r="Q24" s="10" t="s">
        <v>16</v>
      </c>
      <c r="R24" s="10" t="s">
        <v>17</v>
      </c>
      <c r="S24" s="10" t="b">
        <v>0</v>
      </c>
      <c r="T24" s="10">
        <v>1</v>
      </c>
      <c r="U24" s="10" t="s">
        <v>17</v>
      </c>
      <c r="V24" s="10" t="s">
        <v>17</v>
      </c>
      <c r="W24" s="10">
        <f t="shared" si="0"/>
        <v>1</v>
      </c>
      <c r="X24" s="10" t="s">
        <v>334</v>
      </c>
    </row>
    <row r="25" spans="1:24" x14ac:dyDescent="0.3">
      <c r="A25" s="4"/>
      <c r="I25" s="2"/>
    </row>
    <row r="26" spans="1:24" x14ac:dyDescent="0.3">
      <c r="A26" s="4"/>
      <c r="I26" s="2"/>
    </row>
    <row r="27" spans="1:24" x14ac:dyDescent="0.3">
      <c r="A27" s="4"/>
      <c r="I27" s="2"/>
    </row>
    <row r="28" spans="1:24" x14ac:dyDescent="0.3">
      <c r="A28" s="4"/>
      <c r="I28" s="2"/>
    </row>
    <row r="29" spans="1:24" x14ac:dyDescent="0.3">
      <c r="A29" s="4"/>
      <c r="I29" s="2"/>
    </row>
    <row r="30" spans="1:24" x14ac:dyDescent="0.3">
      <c r="A30" s="4"/>
      <c r="I30" s="2"/>
    </row>
    <row r="31" spans="1:24" x14ac:dyDescent="0.3">
      <c r="A31" s="4"/>
      <c r="I31" s="2"/>
    </row>
    <row r="32" spans="1:24" x14ac:dyDescent="0.3">
      <c r="A32" s="4"/>
      <c r="I32" s="2"/>
    </row>
    <row r="33" spans="1:9" x14ac:dyDescent="0.3">
      <c r="A33" s="4"/>
      <c r="I33" s="2"/>
    </row>
    <row r="34" spans="1:9" x14ac:dyDescent="0.3">
      <c r="A34" s="4"/>
      <c r="I34" s="2"/>
    </row>
    <row r="35" spans="1:9" x14ac:dyDescent="0.3">
      <c r="A35" s="4"/>
      <c r="I35" s="2"/>
    </row>
    <row r="36" spans="1:9" x14ac:dyDescent="0.3">
      <c r="A36" s="4"/>
      <c r="I36" s="2"/>
    </row>
    <row r="37" spans="1:9" x14ac:dyDescent="0.3">
      <c r="A37" s="4"/>
      <c r="I37" s="2"/>
    </row>
    <row r="38" spans="1:9" x14ac:dyDescent="0.3">
      <c r="A38" s="4"/>
      <c r="I38" s="2"/>
    </row>
    <row r="39" spans="1:9" x14ac:dyDescent="0.3">
      <c r="A39" s="4"/>
      <c r="I39" s="2"/>
    </row>
    <row r="40" spans="1:9" x14ac:dyDescent="0.3">
      <c r="A40" s="4"/>
      <c r="I40" s="2"/>
    </row>
    <row r="41" spans="1:9" x14ac:dyDescent="0.3">
      <c r="A41" s="4"/>
      <c r="I41" s="2"/>
    </row>
    <row r="42" spans="1:9" x14ac:dyDescent="0.3">
      <c r="A42" s="4"/>
      <c r="I42" s="2"/>
    </row>
    <row r="43" spans="1:9" x14ac:dyDescent="0.3">
      <c r="A43" s="4"/>
      <c r="I43" s="2"/>
    </row>
    <row r="44" spans="1:9" x14ac:dyDescent="0.3">
      <c r="A44" s="4"/>
      <c r="I44" s="2"/>
    </row>
    <row r="45" spans="1:9" x14ac:dyDescent="0.3">
      <c r="A45" s="4"/>
      <c r="I45" s="2"/>
    </row>
    <row r="46" spans="1:9" x14ac:dyDescent="0.3">
      <c r="A46" s="4"/>
      <c r="I46" s="2"/>
    </row>
    <row r="47" spans="1:9" x14ac:dyDescent="0.3">
      <c r="A47" s="4"/>
      <c r="I47" s="2"/>
    </row>
    <row r="48" spans="1:9" x14ac:dyDescent="0.3">
      <c r="A48" s="4"/>
      <c r="I48" s="2"/>
    </row>
    <row r="49" spans="9:9" x14ac:dyDescent="0.3">
      <c r="I49" s="2"/>
    </row>
    <row r="50" spans="9:9" x14ac:dyDescent="0.3">
      <c r="I50" s="2"/>
    </row>
    <row r="51" spans="9:9" x14ac:dyDescent="0.3">
      <c r="I51" s="2"/>
    </row>
    <row r="52" spans="9:9" x14ac:dyDescent="0.3">
      <c r="I52" s="2"/>
    </row>
    <row r="53" spans="9:9" x14ac:dyDescent="0.3">
      <c r="I53" s="2"/>
    </row>
    <row r="54" spans="9:9" x14ac:dyDescent="0.3">
      <c r="I54" s="2"/>
    </row>
    <row r="55" spans="9:9" x14ac:dyDescent="0.3">
      <c r="I55" s="2"/>
    </row>
    <row r="56" spans="9:9" x14ac:dyDescent="0.3">
      <c r="I56" s="2"/>
    </row>
    <row r="57" spans="9:9" x14ac:dyDescent="0.3">
      <c r="I57" s="2"/>
    </row>
    <row r="58" spans="9:9" x14ac:dyDescent="0.3">
      <c r="I58" s="2"/>
    </row>
    <row r="59" spans="9:9" x14ac:dyDescent="0.3">
      <c r="I59" s="2"/>
    </row>
    <row r="60" spans="9:9" x14ac:dyDescent="0.3">
      <c r="I60" s="2"/>
    </row>
    <row r="61" spans="9:9" x14ac:dyDescent="0.3">
      <c r="I61" s="2"/>
    </row>
  </sheetData>
  <sortState xmlns:xlrd2="http://schemas.microsoft.com/office/spreadsheetml/2017/richdata2" ref="A2:X71">
    <sortCondition ref="E1:E71"/>
  </sortState>
  <conditionalFormatting sqref="A2:F24 H2:V24">
    <cfRule type="containsBlanks" dxfId="1" priority="1">
      <formula>LEN(TRIM(A2))=0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UsedCars</vt:lpstr>
      <vt:lpstr>Convertibles</vt:lpstr>
      <vt:lpstr>Coupes</vt:lpstr>
      <vt:lpstr>Minivans</vt:lpstr>
      <vt:lpstr>Pickup</vt:lpstr>
      <vt:lpstr>Sedans</vt:lpstr>
      <vt:lpstr>SUV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Deonarine</dc:creator>
  <cp:lastModifiedBy>Shawn Deonarine</cp:lastModifiedBy>
  <dcterms:created xsi:type="dcterms:W3CDTF">2021-10-20T17:17:41Z</dcterms:created>
  <dcterms:modified xsi:type="dcterms:W3CDTF">2021-10-22T02:42:04Z</dcterms:modified>
</cp:coreProperties>
</file>